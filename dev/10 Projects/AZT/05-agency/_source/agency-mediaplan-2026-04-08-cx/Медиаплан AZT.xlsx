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диа План ЕКБ" sheetId="1" r:id="rId4"/>
    <sheet state="visible" name="Ключи ЕКБ" sheetId="2" r:id="rId5"/>
    <sheet state="visible" name="Медиа План Ижевск" sheetId="3" r:id="rId6"/>
    <sheet state="visible" name="Ключи Ижевск" sheetId="4" r:id="rId7"/>
    <sheet state="visible" name="Медиа План Тюмень" sheetId="5" r:id="rId8"/>
    <sheet state="visible" name="Ключи Тюмень" sheetId="6" r:id="rId9"/>
    <sheet state="visible" name="Медиа План Пермь" sheetId="7" r:id="rId10"/>
    <sheet state="visible" name="Ключи Пермь" sheetId="8" r:id="rId11"/>
    <sheet state="hidden" name="Медиа План МСК" sheetId="9" r:id="rId12"/>
    <sheet state="hidden" name="Ключи" sheetId="10" r:id="rId13"/>
  </sheets>
  <definedNames/>
  <calcPr/>
  <extLst>
    <ext uri="GoogleSheetsCustomDataVersion2">
      <go:sheetsCustomData xmlns:go="http://customooxmlschemas.google.com/" r:id="rId14" roundtripDataChecksum="c+XT40yLwuLTb7lUwJOZ4TT9J1JO3sWev/YcJoCMOpo="/>
    </ext>
  </extLst>
</workbook>
</file>

<file path=xl/sharedStrings.xml><?xml version="1.0" encoding="utf-8"?>
<sst xmlns="http://schemas.openxmlformats.org/spreadsheetml/2006/main" count="358" uniqueCount="161">
  <si>
    <t>Медиа План от Maximus Media</t>
  </si>
  <si>
    <t>Проект: AZT</t>
  </si>
  <si>
    <t>Дата составления: 08.04.26</t>
  </si>
  <si>
    <t>ГЕО: Екатеринбург</t>
  </si>
  <si>
    <t>Медиа План</t>
  </si>
  <si>
    <t>Рекламируемый объект</t>
  </si>
  <si>
    <t>Рекламный канал</t>
  </si>
  <si>
    <t>Формат</t>
  </si>
  <si>
    <t>Настройки</t>
  </si>
  <si>
    <t>Период размещения</t>
  </si>
  <si>
    <t>Количество показов</t>
  </si>
  <si>
    <t>CTR,%</t>
  </si>
  <si>
    <t>Количество переходов</t>
  </si>
  <si>
    <t>Средняя цена за клик</t>
  </si>
  <si>
    <t>Конверсия в заявку, %</t>
  </si>
  <si>
    <t>Количество заявок</t>
  </si>
  <si>
    <t>Цена за заявку</t>
  </si>
  <si>
    <t>Рекламный бюджет с НДС</t>
  </si>
  <si>
    <t>https://azt-teplica.ru/ekb/</t>
  </si>
  <si>
    <t>Я.Директ</t>
  </si>
  <si>
    <t>Поиск</t>
  </si>
  <si>
    <t>Текстовые объявления</t>
  </si>
  <si>
    <t>Ключевые слова (запросы), РК за CPA</t>
  </si>
  <si>
    <t>30 дней</t>
  </si>
  <si>
    <t>Сети</t>
  </si>
  <si>
    <t>Текстово-графичение объявления</t>
  </si>
  <si>
    <t>Ключевые слова,Конкуренты,Ретаргетинг, РК за CPA</t>
  </si>
  <si>
    <t>Итого и среднее:</t>
  </si>
  <si>
    <t>Планируемые работы</t>
  </si>
  <si>
    <t>1) Анализ продукта и целевой аудитории</t>
  </si>
  <si>
    <t>2) Формирование оффера и УТП</t>
  </si>
  <si>
    <t>3) Подготовка и проверка посадочной страницы</t>
  </si>
  <si>
    <t>4) Настройка систем аналитики (Метрика, цели)</t>
  </si>
  <si>
    <t>5) Сбор и кластеризация семантического ядр</t>
  </si>
  <si>
    <t>6) Создание структуры рекламных кампаний</t>
  </si>
  <si>
    <t>7) Настройка кампаний (поиск, РСЯ, ретаргетинг,МК)</t>
  </si>
  <si>
    <t>8) Первичный мониторинг показателей</t>
  </si>
  <si>
    <t>9) Чистка поисковых запросови</t>
  </si>
  <si>
    <t>10) Оптимизация объявлений и ключевых слов</t>
  </si>
  <si>
    <t>11) Тестирование гипотез (офферы, креативы, аудитории)</t>
  </si>
  <si>
    <t>12) Масштабирование эффективных кампаний</t>
  </si>
  <si>
    <t xml:space="preserve">Ключ </t>
  </si>
  <si>
    <t>Частотность</t>
  </si>
  <si>
    <t>купить теплицу</t>
  </si>
  <si>
    <t>купить теплицу в екатеринбурге</t>
  </si>
  <si>
    <t>теплица цена</t>
  </si>
  <si>
    <t>теплица из поликарбоната купить</t>
  </si>
  <si>
    <t>теплицы екатеринбург цены</t>
  </si>
  <si>
    <t>купить теплицу цена</t>
  </si>
  <si>
    <t>купить теплицу от производителя</t>
  </si>
  <si>
    <t>какую теплицу купить</t>
  </si>
  <si>
    <t>купить хорошую теплицу</t>
  </si>
  <si>
    <t>теплица 6 6 купить</t>
  </si>
  <si>
    <t>теплица купить в екатеринбурге от производителя</t>
  </si>
  <si>
    <t>купить теплицу недорого от производителя</t>
  </si>
  <si>
    <t>купить теплицу в екатеринбурге недорого</t>
  </si>
  <si>
    <t>заказать теплицу</t>
  </si>
  <si>
    <t>купить теплицу из поликарбоната от производителя</t>
  </si>
  <si>
    <t>купить теплицу от производителя цена</t>
  </si>
  <si>
    <t>теплицу из поликарбоната купить недорого екатеринбург</t>
  </si>
  <si>
    <t>теплица 3 на 3 купить</t>
  </si>
  <si>
    <t>теплицы от производителя недорого цена</t>
  </si>
  <si>
    <t>теплица 3х4 купить</t>
  </si>
  <si>
    <t>теплица 6 метров цена</t>
  </si>
  <si>
    <t>где купить теплицу в екатеринбурге</t>
  </si>
  <si>
    <t>ГЕО: Ижевск</t>
  </si>
  <si>
    <t>https://azt-teplica.ru/izh/</t>
  </si>
  <si>
    <t>купить теплицу в ижевске</t>
  </si>
  <si>
    <t>теплицы ижевск цены</t>
  </si>
  <si>
    <t>поликарбонат для теплицы цена</t>
  </si>
  <si>
    <t>теплица из поликарбоната купить в ижевске</t>
  </si>
  <si>
    <t>теплица ижевск купить цена</t>
  </si>
  <si>
    <t>купить теплицу недорого</t>
  </si>
  <si>
    <t>теплицы цены и размеры</t>
  </si>
  <si>
    <t>купить теплицу в ижевске недорого</t>
  </si>
  <si>
    <t>теплицы ижевск цены и размеры</t>
  </si>
  <si>
    <t>купить теплицу с установкой</t>
  </si>
  <si>
    <t>где купить теплицу</t>
  </si>
  <si>
    <t>купить теплицу в ижевске недорого с установкой</t>
  </si>
  <si>
    <t>теплицы в ижевске купить от производителя</t>
  </si>
  <si>
    <t>теплица из поликарбоната купить с установкой</t>
  </si>
  <si>
    <t>установка теплицы из поликарбоната цена</t>
  </si>
  <si>
    <t>ГЕО:Тюмень</t>
  </si>
  <si>
    <t>https://azt-teplica.ru/tmn/</t>
  </si>
  <si>
    <t>ГЕО: Тюмень</t>
  </si>
  <si>
    <t>купить теплицу в тюмени</t>
  </si>
  <si>
    <t>теплицы в тюмени купить недорого</t>
  </si>
  <si>
    <t>теплицы тюмень цены</t>
  </si>
  <si>
    <t>тюмень купить теплицу цены</t>
  </si>
  <si>
    <t>поликарбонат для теплицы цена за лист</t>
  </si>
  <si>
    <t>купить теплицу в тюмени от производителя</t>
  </si>
  <si>
    <t>теплицы от производителя купить недорого в тюмени</t>
  </si>
  <si>
    <t>теплицы цена купить недорого</t>
  </si>
  <si>
    <t>купить теплицу из поликарбоната недорого от производителя</t>
  </si>
  <si>
    <t>теплицы в тюмени купить недорого цена</t>
  </si>
  <si>
    <t>теплицы каталог цены</t>
  </si>
  <si>
    <t>где купить теплицу в тюмени</t>
  </si>
  <si>
    <t>ГЕО: Пермь</t>
  </si>
  <si>
    <t>https://azt-teplica.ru/</t>
  </si>
  <si>
    <t>купить теплицу в перми</t>
  </si>
  <si>
    <t>теплица из поликарбоната купить в перми</t>
  </si>
  <si>
    <t>купить теплицу в перми от производителя</t>
  </si>
  <si>
    <t>теплица цена в перми</t>
  </si>
  <si>
    <t>купить теплицу в перми от производителя недорого</t>
  </si>
  <si>
    <t>теплицы из поликарбоната пермь цены</t>
  </si>
  <si>
    <t>купить теплицу из поликарбоната недорого</t>
  </si>
  <si>
    <t>теплицы пермь купить цена</t>
  </si>
  <si>
    <t>усиленные теплицы в перми купить</t>
  </si>
  <si>
    <t>где купить теплицу в перми</t>
  </si>
  <si>
    <t>купить теплицу усиленную из поликарбоната</t>
  </si>
  <si>
    <t>купить теплицу в перми из поликарбоната усиленную</t>
  </si>
  <si>
    <t>купить теплицу капелька в перми</t>
  </si>
  <si>
    <t>теплица 3х6 купить</t>
  </si>
  <si>
    <t>метр теплицы цены</t>
  </si>
  <si>
    <t>теплица с раздвижной крышей купить в перми</t>
  </si>
  <si>
    <t>теплица из профильной трубы купить</t>
  </si>
  <si>
    <t>Проект: KSLV</t>
  </si>
  <si>
    <t>Дата составления: 07.03.25</t>
  </si>
  <si>
    <t>ГЕО: Москва и МО</t>
  </si>
  <si>
    <t>https://kslv-group.ru/</t>
  </si>
  <si>
    <t>Ключевые слова (запросы)</t>
  </si>
  <si>
    <t>1) Создать поисковую ЕПК с оплатой за клики</t>
  </si>
  <si>
    <t>2) Создать РСЯ ЕПК с оплатой за клики</t>
  </si>
  <si>
    <t>3) Создать ЕПК и на поиск и на РСЯ с оплатой за конверсии</t>
  </si>
  <si>
    <t>4) Создать Мастера кампаний с оплатой за конверсии</t>
  </si>
  <si>
    <t>аренда спецтехники москва</t>
  </si>
  <si>
    <t>заказать камаз песка</t>
  </si>
  <si>
    <t>аренда экскаватора в москве</t>
  </si>
  <si>
    <t>аренда экскаватора цена</t>
  </si>
  <si>
    <t>аренда грузовой спецтехники</t>
  </si>
  <si>
    <t>аренда грузовой техники и спецтехники</t>
  </si>
  <si>
    <t>заказать вывоз строительного мусора</t>
  </si>
  <si>
    <t>аренда автокрана в москве</t>
  </si>
  <si>
    <t>аренда манипулятора цена</t>
  </si>
  <si>
    <t>аренда автовышек цена</t>
  </si>
  <si>
    <t>вывоз грунта цена</t>
  </si>
  <si>
    <t>аренда автокрана цена</t>
  </si>
  <si>
    <t>вывоз строительного мусора в москве цены</t>
  </si>
  <si>
    <t>аренда спецтехники с водителем москва</t>
  </si>
  <si>
    <t>заказать песок с доставкой</t>
  </si>
  <si>
    <t>аренда спецтехники цена</t>
  </si>
  <si>
    <t>аренда самосвала москва</t>
  </si>
  <si>
    <t>вывоз грунта цена за м3</t>
  </si>
  <si>
    <t>заказать щебень с доставкой</t>
  </si>
  <si>
    <t>аренда самосвала цена</t>
  </si>
  <si>
    <t>аренда спецтехники москва цена</t>
  </si>
  <si>
    <t>вывоз грунта москва цена</t>
  </si>
  <si>
    <t>заказать машину песка</t>
  </si>
  <si>
    <t>аренда автокрана стоимость</t>
  </si>
  <si>
    <t>бульдозер аренда цена</t>
  </si>
  <si>
    <t>компания по аренде спецтехники</t>
  </si>
  <si>
    <t>мини погрузчик аренда москва</t>
  </si>
  <si>
    <t>аренда бульдозера в москве</t>
  </si>
  <si>
    <t>аренда экскаватора мини погрузчика</t>
  </si>
  <si>
    <t>заказ щебня с доставкой</t>
  </si>
  <si>
    <t>вывоз грунта стоимость</t>
  </si>
  <si>
    <t>заказать щебень цена</t>
  </si>
  <si>
    <t>бульдозер аренда час</t>
  </si>
  <si>
    <t>бортовая машина аренда</t>
  </si>
  <si>
    <t>автовышка аренда москва</t>
  </si>
  <si>
    <t>аренда манипулятора москва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</si>
</sst>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.00"/>
    <numFmt numFmtId="165" formatCode="0.0"/>
  </numFmts>
  <fonts count="15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/>
    <font>
      <sz val="11.0"/>
      <color rgb="FFFF0000"/>
      <name val="Arial"/>
    </font>
    <font>
      <sz val="11.0"/>
      <color rgb="FF000000"/>
      <name val="Arial"/>
    </font>
    <font>
      <u/>
      <sz val="11.0"/>
      <color theme="1"/>
      <name val="Arial"/>
    </font>
    <font>
      <color theme="1"/>
      <name val="Arial"/>
    </font>
    <font>
      <sz val="10.0"/>
      <color rgb="FF000000"/>
      <name val="Calibri"/>
    </font>
    <font>
      <sz val="10.0"/>
      <color rgb="FF000000"/>
      <name val="Arial"/>
    </font>
    <font>
      <b/>
      <color theme="1"/>
      <name val="Arial"/>
    </font>
    <font>
      <u/>
      <sz val="11.0"/>
      <color rgb="FF0000FF"/>
      <name val="Arial"/>
    </font>
    <font>
      <color theme="0"/>
      <name val="Arial"/>
    </font>
    <font>
      <u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EEBF7"/>
        <bgColor rgb="FFDEEBF7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22">
    <border/>
    <border>
      <left/>
      <right/>
      <top/>
    </border>
    <border>
      <left/>
      <top/>
      <bottom/>
    </border>
    <border>
      <top/>
      <bottom/>
    </border>
    <border>
      <left/>
      <right/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3" fillId="2" fontId="2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0" fillId="0" fontId="5" numFmtId="0" xfId="0" applyAlignment="1" applyFont="1">
      <alignment horizontal="left" shrinkToFit="0" vertical="center" wrapText="1"/>
    </xf>
    <xf borderId="9" fillId="4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0" fillId="2" fontId="7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9" fillId="2" fontId="6" numFmtId="3" xfId="0" applyAlignment="1" applyBorder="1" applyFont="1" applyNumberFormat="1">
      <alignment horizontal="center" readingOrder="0" shrinkToFit="0" vertical="center" wrapText="1"/>
    </xf>
    <xf borderId="9" fillId="2" fontId="6" numFmtId="2" xfId="0" applyAlignment="1" applyBorder="1" applyFont="1" applyNumberFormat="1">
      <alignment horizontal="center" shrinkToFit="0" vertical="center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9" fillId="2" fontId="6" numFmtId="10" xfId="0" applyAlignment="1" applyBorder="1" applyFont="1" applyNumberFormat="1">
      <alignment horizontal="center" readingOrder="0" shrinkToFit="0" vertical="center" wrapText="1"/>
    </xf>
    <xf borderId="9" fillId="2" fontId="6" numFmtId="1" xfId="0" applyAlignment="1" applyBorder="1" applyFont="1" applyNumberFormat="1">
      <alignment horizontal="center" shrinkToFit="0" vertical="center" wrapText="1"/>
    </xf>
    <xf borderId="9" fillId="2" fontId="2" numFmtId="164" xfId="0" applyAlignment="1" applyBorder="1" applyFont="1" applyNumberFormat="1">
      <alignment horizontal="center" readingOrder="0" shrinkToFit="0" vertical="center" wrapText="1"/>
    </xf>
    <xf borderId="11" fillId="0" fontId="4" numFmtId="0" xfId="0" applyBorder="1" applyFont="1"/>
    <xf borderId="9" fillId="2" fontId="6" numFmtId="165" xfId="0" applyAlignment="1" applyBorder="1" applyFont="1" applyNumberFormat="1">
      <alignment horizontal="center" shrinkToFit="0" vertical="center" wrapText="1"/>
    </xf>
    <xf borderId="9" fillId="4" fontId="2" numFmtId="1" xfId="0" applyAlignment="1" applyBorder="1" applyFont="1" applyNumberFormat="1">
      <alignment horizontal="center" shrinkToFit="0" vertical="center" wrapText="1"/>
    </xf>
    <xf borderId="9" fillId="4" fontId="2" numFmtId="4" xfId="0" applyAlignment="1" applyBorder="1" applyFont="1" applyNumberFormat="1">
      <alignment horizontal="center" shrinkToFit="0" vertical="center" wrapText="1"/>
    </xf>
    <xf borderId="9" fillId="4" fontId="2" numFmtId="164" xfId="0" applyAlignment="1" applyBorder="1" applyFont="1" applyNumberFormat="1">
      <alignment horizontal="center" shrinkToFit="0" vertical="center" wrapText="1"/>
    </xf>
    <xf borderId="9" fillId="4" fontId="2" numFmtId="10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left" shrinkToFit="0" vertical="center" wrapText="1"/>
    </xf>
    <xf borderId="12" fillId="2" fontId="2" numFmtId="0" xfId="0" applyAlignment="1" applyBorder="1" applyFont="1">
      <alignment horizontal="left" shrinkToFit="0" vertical="center" wrapText="1"/>
    </xf>
    <xf borderId="13" fillId="2" fontId="8" numFmtId="0" xfId="0" applyAlignment="1" applyBorder="1" applyFont="1">
      <alignment shrinkToFit="0" wrapText="1"/>
    </xf>
    <xf borderId="12" fillId="2" fontId="8" numFmtId="0" xfId="0" applyAlignment="1" applyBorder="1" applyFont="1">
      <alignment shrinkToFit="0" wrapText="1"/>
    </xf>
    <xf borderId="12" fillId="0" fontId="4" numFmtId="0" xfId="0" applyBorder="1" applyFont="1"/>
    <xf borderId="13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0" fillId="2" fontId="1" numFmtId="0" xfId="0" applyAlignment="1" applyFont="1">
      <alignment horizontal="center" shrinkToFit="0" vertical="center" wrapText="1"/>
    </xf>
    <xf borderId="6" fillId="2" fontId="6" numFmtId="0" xfId="0" applyAlignment="1" applyBorder="1" applyFont="1">
      <alignment horizontal="left" shrinkToFit="0" vertical="center" wrapText="1"/>
    </xf>
    <xf borderId="14" fillId="2" fontId="8" numFmtId="0" xfId="0" applyAlignment="1" applyBorder="1" applyFont="1">
      <alignment shrinkToFit="0" wrapText="1"/>
    </xf>
    <xf borderId="14" fillId="0" fontId="4" numFmtId="0" xfId="0" applyBorder="1" applyFont="1"/>
    <xf borderId="15" fillId="0" fontId="4" numFmtId="0" xfId="0" applyBorder="1" applyFont="1"/>
    <xf borderId="16" fillId="2" fontId="8" numFmtId="0" xfId="0" applyAlignment="1" applyBorder="1" applyFont="1">
      <alignment shrinkToFit="0" wrapText="1"/>
    </xf>
    <xf borderId="16" fillId="0" fontId="4" numFmtId="0" xfId="0" applyBorder="1" applyFont="1"/>
    <xf borderId="17" fillId="0" fontId="4" numFmtId="0" xfId="0" applyBorder="1" applyFont="1"/>
    <xf borderId="18" fillId="2" fontId="8" numFmtId="0" xfId="0" applyAlignment="1" applyBorder="1" applyFont="1">
      <alignment shrinkToFit="0" wrapText="1"/>
    </xf>
    <xf borderId="6" fillId="2" fontId="1" numFmtId="0" xfId="0" applyAlignment="1" applyBorder="1" applyFont="1">
      <alignment shrinkToFit="0" wrapText="1"/>
    </xf>
    <xf borderId="15" fillId="2" fontId="2" numFmtId="0" xfId="0" applyAlignment="1" applyBorder="1" applyFont="1">
      <alignment horizontal="lef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9" fillId="2" fontId="8" numFmtId="0" xfId="0" applyAlignment="1" applyBorder="1" applyFont="1">
      <alignment shrinkToFit="0" wrapText="1"/>
    </xf>
    <xf borderId="15" fillId="2" fontId="8" numFmtId="0" xfId="0" applyAlignment="1" applyBorder="1" applyFont="1">
      <alignment shrinkToFit="0" wrapText="1"/>
    </xf>
    <xf borderId="1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horizontal="center" shrinkToFit="0" wrapText="1"/>
    </xf>
    <xf borderId="5" fillId="2" fontId="2" numFmtId="0" xfId="0" applyAlignment="1" applyBorder="1" applyFont="1">
      <alignment horizontal="left" shrinkToFit="0" vertical="center" wrapText="1"/>
    </xf>
    <xf borderId="20" fillId="2" fontId="6" numFmtId="0" xfId="0" applyAlignment="1" applyBorder="1" applyFont="1">
      <alignment horizontal="left" shrinkToFit="0" vertical="center" wrapText="1"/>
    </xf>
    <xf borderId="21" fillId="2" fontId="6" numFmtId="0" xfId="0" applyAlignment="1" applyBorder="1" applyFont="1">
      <alignment horizontal="left" shrinkToFit="0" vertical="center" wrapText="1"/>
    </xf>
    <xf borderId="0" fillId="0" fontId="3" numFmtId="0" xfId="0" applyFont="1"/>
    <xf borderId="0" fillId="0" fontId="8" numFmtId="0" xfId="0" applyAlignment="1" applyFont="1">
      <alignment shrinkToFit="0" vertical="center" wrapText="1"/>
    </xf>
    <xf borderId="9" fillId="5" fontId="11" numFmtId="0" xfId="0" applyAlignment="1" applyBorder="1" applyFill="1" applyFont="1">
      <alignment horizontal="center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" fillId="2" fontId="8" numFmtId="0" xfId="0" applyBorder="1" applyFont="1"/>
    <xf borderId="2" fillId="2" fontId="3" numFmtId="0" xfId="0" applyAlignment="1" applyBorder="1" applyFont="1">
      <alignment shrinkToFit="0" vertical="center" wrapText="1"/>
    </xf>
    <xf borderId="3" fillId="2" fontId="8" numFmtId="0" xfId="0" applyAlignment="1" applyBorder="1" applyFont="1">
      <alignment vertical="center"/>
    </xf>
    <xf borderId="3" fillId="2" fontId="8" numFmtId="0" xfId="0" applyBorder="1" applyFont="1"/>
    <xf borderId="4" fillId="2" fontId="8" numFmtId="0" xfId="0" applyBorder="1" applyFont="1"/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vertical="bottom"/>
    </xf>
    <xf borderId="5" fillId="2" fontId="8" numFmtId="0" xfId="0" applyBorder="1" applyFont="1"/>
    <xf borderId="6" fillId="3" fontId="3" numFmtId="0" xfId="0" applyAlignment="1" applyBorder="1" applyFont="1">
      <alignment horizontal="center" shrinkToFit="0" vertical="center" wrapText="1"/>
    </xf>
    <xf borderId="0" fillId="0" fontId="8" numFmtId="0" xfId="0" applyFont="1"/>
    <xf borderId="9" fillId="4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2" fontId="1" numFmtId="3" xfId="0" applyAlignment="1" applyBorder="1" applyFont="1" applyNumberFormat="1">
      <alignment horizontal="center" shrinkToFit="0" vertical="center" wrapText="1"/>
    </xf>
    <xf borderId="9" fillId="2" fontId="1" numFmtId="2" xfId="0" applyAlignment="1" applyBorder="1" applyFont="1" applyNumberFormat="1">
      <alignment horizontal="center" shrinkToFit="0" vertical="center" wrapText="1"/>
    </xf>
    <xf borderId="9" fillId="2" fontId="1" numFmtId="164" xfId="0" applyAlignment="1" applyBorder="1" applyFont="1" applyNumberFormat="1">
      <alignment horizontal="center" shrinkToFit="0" vertical="center" wrapText="1"/>
    </xf>
    <xf borderId="9" fillId="2" fontId="1" numFmtId="10" xfId="0" applyAlignment="1" applyBorder="1" applyFont="1" applyNumberFormat="1">
      <alignment horizontal="center" shrinkToFit="0" vertical="center" wrapText="1"/>
    </xf>
    <xf borderId="9" fillId="2" fontId="1" numFmtId="1" xfId="0" applyAlignment="1" applyBorder="1" applyFont="1" applyNumberFormat="1">
      <alignment horizontal="center" shrinkToFit="0" vertical="center" wrapText="1"/>
    </xf>
    <xf borderId="9" fillId="2" fontId="3" numFmtId="164" xfId="0" applyAlignment="1" applyBorder="1" applyFont="1" applyNumberFormat="1">
      <alignment horizontal="center" shrinkToFit="0" vertical="center" wrapText="1"/>
    </xf>
    <xf borderId="9" fillId="2" fontId="1" numFmtId="165" xfId="0" applyAlignment="1" applyBorder="1" applyFont="1" applyNumberFormat="1">
      <alignment horizontal="center" shrinkToFit="0" vertical="center" wrapText="1"/>
    </xf>
    <xf borderId="9" fillId="4" fontId="3" numFmtId="1" xfId="0" applyAlignment="1" applyBorder="1" applyFont="1" applyNumberFormat="1">
      <alignment horizontal="center" shrinkToFit="0" vertical="center" wrapText="1"/>
    </xf>
    <xf borderId="9" fillId="4" fontId="3" numFmtId="4" xfId="0" applyAlignment="1" applyBorder="1" applyFont="1" applyNumberFormat="1">
      <alignment horizontal="center" shrinkToFit="0" vertical="center" wrapText="1"/>
    </xf>
    <xf borderId="9" fillId="4" fontId="3" numFmtId="164" xfId="0" applyAlignment="1" applyBorder="1" applyFont="1" applyNumberFormat="1">
      <alignment horizontal="center" shrinkToFit="0" vertical="center" wrapText="1"/>
    </xf>
    <xf borderId="9" fillId="4" fontId="3" numFmtId="10" xfId="0" applyAlignment="1" applyBorder="1" applyFont="1" applyNumberFormat="1">
      <alignment horizontal="center" shrinkToFit="0" vertical="center" wrapText="1"/>
    </xf>
    <xf borderId="0" fillId="2" fontId="8" numFmtId="0" xfId="0" applyFont="1"/>
    <xf borderId="12" fillId="2" fontId="8" numFmtId="0" xfId="0" applyBorder="1" applyFont="1"/>
    <xf borderId="13" fillId="2" fontId="8" numFmtId="0" xfId="0" applyAlignment="1" applyBorder="1" applyFont="1">
      <alignment vertical="bottom"/>
    </xf>
    <xf borderId="12" fillId="2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6" fillId="3" fontId="3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shrinkToFit="0" wrapText="1"/>
    </xf>
    <xf borderId="14" fillId="2" fontId="8" numFmtId="0" xfId="0" applyAlignment="1" applyBorder="1" applyFont="1">
      <alignment vertical="bottom"/>
    </xf>
    <xf borderId="16" fillId="2" fontId="8" numFmtId="0" xfId="0" applyAlignment="1" applyBorder="1" applyFont="1">
      <alignment vertical="bottom"/>
    </xf>
    <xf borderId="18" fillId="2" fontId="8" numFmtId="0" xfId="0" applyAlignment="1" applyBorder="1" applyFont="1">
      <alignment vertical="bottom"/>
    </xf>
    <xf borderId="6" fillId="2" fontId="1" numFmtId="0" xfId="0" applyAlignment="1" applyBorder="1" applyFont="1">
      <alignment shrinkToFit="0" vertical="bottom" wrapText="1"/>
    </xf>
    <xf borderId="15" fillId="2" fontId="8" numFmtId="0" xfId="0" applyBorder="1" applyFont="1"/>
    <xf borderId="2" fillId="2" fontId="3" numFmtId="0" xfId="0" applyAlignment="1" applyBorder="1" applyFont="1">
      <alignment shrinkToFit="0" wrapText="1"/>
    </xf>
    <xf borderId="0" fillId="0" fontId="3" numFmtId="0" xfId="0" applyAlignment="1" applyFont="1">
      <alignment shrinkToFit="0" vertical="bottom" wrapText="1"/>
    </xf>
    <xf borderId="9" fillId="5" fontId="11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shrinkToFit="0" wrapText="1"/>
    </xf>
    <xf borderId="9" fillId="0" fontId="8" numFmtId="0" xfId="0" applyAlignment="1" applyBorder="1" applyFont="1">
      <alignment horizontal="center" shrinkToFit="0" wrapText="1"/>
    </xf>
    <xf borderId="9" fillId="0" fontId="8" numFmtId="0" xfId="0" applyBorder="1" applyFont="1"/>
    <xf borderId="12" fillId="6" fontId="13" numFmtId="0" xfId="0" applyBorder="1" applyFill="1" applyFont="1"/>
    <xf borderId="0" fillId="6" fontId="13" numFmtId="0" xfId="0" applyFont="1"/>
    <xf borderId="17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2" fontId="14" numFmtId="0" xfId="0" applyAlignment="1" applyBorder="1" applyFont="1">
      <alignment horizontal="center" shrinkToFit="0" vertical="center" wrapText="1"/>
    </xf>
    <xf borderId="9" fillId="2" fontId="6" numFmtId="3" xfId="0" applyAlignment="1" applyBorder="1" applyFont="1" applyNumberFormat="1">
      <alignment horizontal="center" shrinkToFit="0" vertical="center" wrapText="1"/>
    </xf>
    <xf borderId="9" fillId="2" fontId="6" numFmtId="10" xfId="0" applyAlignment="1" applyBorder="1" applyFont="1" applyNumberFormat="1">
      <alignment horizontal="center" shrinkToFit="0" vertical="center" wrapText="1"/>
    </xf>
    <xf borderId="9" fillId="2" fontId="2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781050</xdr:colOff>
      <xdr:row>0</xdr:row>
      <xdr:rowOff>19050</xdr:rowOff>
    </xdr:from>
    <xdr:ext cx="2019300" cy="6762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3028950</xdr:colOff>
      <xdr:row>0</xdr:row>
      <xdr:rowOff>0</xdr:rowOff>
    </xdr:from>
    <xdr:ext cx="2266950" cy="7715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828675</xdr:colOff>
      <xdr:row>0</xdr:row>
      <xdr:rowOff>123825</xdr:rowOff>
    </xdr:from>
    <xdr:ext cx="2019300" cy="6762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2867025</xdr:colOff>
      <xdr:row>0</xdr:row>
      <xdr:rowOff>114300</xdr:rowOff>
    </xdr:from>
    <xdr:ext cx="2266950" cy="7715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zt-teplica.ru/ekb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zt-teplica.ru/izh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zt-teplica.ru/tmn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zt-teplica.ru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kslv-group.ru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33.0"/>
    <col customWidth="1" min="3" max="3" width="9.25"/>
    <col customWidth="1" min="4" max="4" width="8.0"/>
    <col customWidth="1" min="6" max="6" width="16.38"/>
    <col customWidth="1" min="7" max="7" width="12.38"/>
    <col customWidth="1" min="8" max="8" width="11.13"/>
    <col customWidth="1" min="9" max="9" width="8.13"/>
    <col customWidth="1" min="10" max="10" width="11.63"/>
    <col customWidth="1" min="11" max="11" width="12.88"/>
    <col customWidth="1" min="12" max="12" width="11.38"/>
    <col customWidth="1" min="13" max="13" width="9.88"/>
    <col customWidth="1" min="14" max="14" width="9.63"/>
    <col customWidth="1" min="15" max="15" width="15.5"/>
    <col customWidth="1" min="16" max="16" width="17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.75" customHeight="1">
      <c r="A2" s="4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ht="15.75" customHeight="1">
      <c r="A3" s="4"/>
      <c r="B3" s="5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15.0" customHeight="1">
      <c r="A4" s="4"/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ht="15.75" customHeight="1">
      <c r="A5" s="9"/>
      <c r="B5" s="10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3"/>
    </row>
    <row r="6" ht="27.75" customHeight="1">
      <c r="A6" s="9"/>
      <c r="B6" s="14" t="s">
        <v>5</v>
      </c>
      <c r="C6" s="15" t="s">
        <v>6</v>
      </c>
      <c r="D6" s="12"/>
      <c r="E6" s="14" t="s">
        <v>7</v>
      </c>
      <c r="F6" s="14" t="s">
        <v>8</v>
      </c>
      <c r="G6" s="14" t="s">
        <v>9</v>
      </c>
      <c r="H6" s="14" t="s">
        <v>10</v>
      </c>
      <c r="I6" s="14" t="s">
        <v>11</v>
      </c>
      <c r="J6" s="14" t="s">
        <v>12</v>
      </c>
      <c r="K6" s="14" t="s">
        <v>13</v>
      </c>
      <c r="L6" s="14" t="s">
        <v>14</v>
      </c>
      <c r="M6" s="14" t="s">
        <v>15</v>
      </c>
      <c r="N6" s="14" t="s">
        <v>16</v>
      </c>
      <c r="O6" s="14" t="s">
        <v>17</v>
      </c>
      <c r="P6" s="16"/>
    </row>
    <row r="7" ht="43.5" customHeight="1">
      <c r="A7" s="9"/>
      <c r="B7" s="17" t="s">
        <v>18</v>
      </c>
      <c r="C7" s="18" t="s">
        <v>19</v>
      </c>
      <c r="D7" s="19" t="s">
        <v>20</v>
      </c>
      <c r="E7" s="19" t="s">
        <v>21</v>
      </c>
      <c r="F7" s="19" t="s">
        <v>22</v>
      </c>
      <c r="G7" s="18" t="s">
        <v>23</v>
      </c>
      <c r="H7" s="20">
        <v>12955.0</v>
      </c>
      <c r="I7" s="21">
        <f t="shared" ref="I7:I8" si="1">J7/H7*100</f>
        <v>11.45503667</v>
      </c>
      <c r="J7" s="20">
        <v>1484.0</v>
      </c>
      <c r="K7" s="22">
        <f t="shared" ref="K7:K9" si="2">O7/J7</f>
        <v>30.32345013</v>
      </c>
      <c r="L7" s="23">
        <v>0.027</v>
      </c>
      <c r="M7" s="24">
        <f t="shared" ref="M7:M8" si="3">J7*L7</f>
        <v>40.068</v>
      </c>
      <c r="N7" s="22">
        <f t="shared" ref="N7:N8" si="4">O7/M7</f>
        <v>1123.090746</v>
      </c>
      <c r="O7" s="25">
        <v>45000.0</v>
      </c>
      <c r="P7" s="16"/>
    </row>
    <row r="8" ht="54.0" customHeight="1">
      <c r="A8" s="9"/>
      <c r="B8" s="26"/>
      <c r="C8" s="26"/>
      <c r="D8" s="19" t="s">
        <v>24</v>
      </c>
      <c r="E8" s="19" t="s">
        <v>25</v>
      </c>
      <c r="F8" s="19" t="s">
        <v>26</v>
      </c>
      <c r="G8" s="26"/>
      <c r="H8" s="20">
        <v>143767.0</v>
      </c>
      <c r="I8" s="27">
        <f t="shared" si="1"/>
        <v>1.382097422</v>
      </c>
      <c r="J8" s="20">
        <v>1987.0</v>
      </c>
      <c r="K8" s="22">
        <f t="shared" si="2"/>
        <v>10.06542526</v>
      </c>
      <c r="L8" s="23">
        <v>0.015</v>
      </c>
      <c r="M8" s="24">
        <f t="shared" si="3"/>
        <v>29.805</v>
      </c>
      <c r="N8" s="22">
        <f t="shared" si="4"/>
        <v>671.0283509</v>
      </c>
      <c r="O8" s="25">
        <v>20000.0</v>
      </c>
      <c r="P8" s="16"/>
    </row>
    <row r="9" ht="15.75" customHeight="1">
      <c r="A9" s="9"/>
      <c r="B9" s="15" t="s">
        <v>27</v>
      </c>
      <c r="C9" s="11"/>
      <c r="D9" s="11"/>
      <c r="E9" s="11"/>
      <c r="F9" s="11"/>
      <c r="G9" s="12"/>
      <c r="H9" s="28">
        <f>SUM(H7:H8)</f>
        <v>156722</v>
      </c>
      <c r="I9" s="29">
        <f>AVERAGE(I7:I8)</f>
        <v>6.418567043</v>
      </c>
      <c r="J9" s="28">
        <f>SUM(J7:J8)</f>
        <v>3471</v>
      </c>
      <c r="K9" s="30">
        <f t="shared" si="2"/>
        <v>18.72659176</v>
      </c>
      <c r="L9" s="31">
        <f>M9/J9*1</f>
        <v>0.02013050994</v>
      </c>
      <c r="M9" s="28">
        <f>SUM(M7:M8)</f>
        <v>69.873</v>
      </c>
      <c r="N9" s="30">
        <f>AVERAGE(N7:N8)</f>
        <v>897.0595483</v>
      </c>
      <c r="O9" s="30">
        <f>SUM(O7:O8)</f>
        <v>65000</v>
      </c>
      <c r="P9" s="16"/>
    </row>
    <row r="10" ht="12.75" customHeight="1">
      <c r="A10" s="4"/>
      <c r="B10" s="32"/>
      <c r="C10" s="33"/>
      <c r="D10" s="34"/>
      <c r="E10" s="35"/>
      <c r="F10" s="34"/>
      <c r="J10" s="36"/>
      <c r="K10" s="37"/>
      <c r="L10" s="38"/>
      <c r="M10" s="38"/>
      <c r="N10" s="38"/>
      <c r="O10" s="38"/>
      <c r="P10" s="38"/>
    </row>
    <row r="11" ht="19.5" customHeight="1">
      <c r="A11" s="9"/>
      <c r="B11" s="10" t="s">
        <v>28</v>
      </c>
      <c r="C11" s="11"/>
      <c r="D11" s="11"/>
      <c r="E11" s="12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8"/>
    </row>
    <row r="12" ht="12.75" customHeight="1">
      <c r="A12" s="9"/>
      <c r="B12" s="40" t="s">
        <v>29</v>
      </c>
      <c r="C12" s="11"/>
      <c r="D12" s="11"/>
      <c r="E12" s="12"/>
      <c r="F12" s="41"/>
      <c r="G12" s="42"/>
      <c r="H12" s="42"/>
      <c r="I12" s="42"/>
      <c r="J12" s="43"/>
      <c r="K12" s="37"/>
      <c r="L12" s="38"/>
      <c r="M12" s="38"/>
      <c r="N12" s="38"/>
      <c r="O12" s="38"/>
      <c r="P12" s="38"/>
    </row>
    <row r="13" ht="12.75" customHeight="1">
      <c r="A13" s="9"/>
      <c r="B13" s="40" t="s">
        <v>30</v>
      </c>
      <c r="C13" s="11"/>
      <c r="D13" s="11"/>
      <c r="E13" s="12"/>
      <c r="F13" s="44"/>
      <c r="G13" s="45"/>
      <c r="H13" s="45"/>
      <c r="I13" s="45"/>
      <c r="J13" s="46"/>
      <c r="K13" s="37"/>
      <c r="L13" s="38"/>
      <c r="M13" s="38"/>
      <c r="N13" s="38"/>
      <c r="O13" s="38"/>
      <c r="P13" s="38"/>
    </row>
    <row r="14" ht="15.75" customHeight="1">
      <c r="A14" s="9"/>
      <c r="B14" s="40" t="s">
        <v>31</v>
      </c>
      <c r="C14" s="11"/>
      <c r="D14" s="11"/>
      <c r="E14" s="12"/>
      <c r="F14" s="44"/>
      <c r="G14" s="45"/>
      <c r="H14" s="45"/>
      <c r="I14" s="45"/>
      <c r="J14" s="46"/>
      <c r="K14" s="37"/>
      <c r="L14" s="38"/>
      <c r="M14" s="38"/>
      <c r="N14" s="38"/>
      <c r="O14" s="38"/>
      <c r="P14" s="38"/>
    </row>
    <row r="15" ht="12.75" customHeight="1">
      <c r="A15" s="9"/>
      <c r="B15" s="40" t="s">
        <v>32</v>
      </c>
      <c r="C15" s="11"/>
      <c r="D15" s="11"/>
      <c r="E15" s="12"/>
      <c r="F15" s="44"/>
      <c r="G15" s="45"/>
      <c r="H15" s="45"/>
      <c r="I15" s="45"/>
      <c r="J15" s="46"/>
      <c r="K15" s="37"/>
      <c r="L15" s="38"/>
      <c r="M15" s="38"/>
      <c r="N15" s="38"/>
      <c r="O15" s="38"/>
      <c r="P15" s="38"/>
    </row>
    <row r="16" ht="15.75" customHeight="1">
      <c r="A16" s="4"/>
      <c r="B16" s="40" t="s">
        <v>33</v>
      </c>
      <c r="C16" s="11"/>
      <c r="D16" s="11"/>
      <c r="E16" s="12"/>
      <c r="F16" s="47"/>
      <c r="G16" s="47"/>
      <c r="H16" s="47"/>
      <c r="I16" s="47"/>
      <c r="J16" s="47"/>
      <c r="K16" s="37"/>
      <c r="L16" s="38"/>
      <c r="M16" s="38"/>
      <c r="N16" s="38"/>
      <c r="O16" s="38"/>
      <c r="P16" s="38"/>
    </row>
    <row r="17" ht="15.75" customHeight="1">
      <c r="A17" s="4"/>
      <c r="B17" s="40" t="s">
        <v>34</v>
      </c>
      <c r="C17" s="11"/>
      <c r="D17" s="11"/>
      <c r="E17" s="12"/>
      <c r="F17" s="33"/>
      <c r="G17" s="47"/>
      <c r="H17" s="47"/>
      <c r="I17" s="47"/>
      <c r="J17" s="47"/>
      <c r="K17" s="37"/>
      <c r="L17" s="38"/>
      <c r="M17" s="38"/>
      <c r="N17" s="38"/>
      <c r="O17" s="38"/>
      <c r="P17" s="38"/>
    </row>
    <row r="18" ht="15.75" customHeight="1">
      <c r="A18" s="4"/>
      <c r="B18" s="40" t="s">
        <v>35</v>
      </c>
      <c r="C18" s="11"/>
      <c r="D18" s="11"/>
      <c r="E18" s="12"/>
      <c r="F18" s="33"/>
      <c r="G18" s="47"/>
      <c r="H18" s="47"/>
      <c r="I18" s="47"/>
      <c r="J18" s="47"/>
      <c r="K18" s="37"/>
      <c r="L18" s="38"/>
      <c r="M18" s="38"/>
      <c r="N18" s="38"/>
      <c r="O18" s="38"/>
      <c r="P18" s="38"/>
    </row>
    <row r="19" ht="15.75" customHeight="1">
      <c r="A19" s="4"/>
      <c r="B19" s="40" t="s">
        <v>36</v>
      </c>
      <c r="C19" s="11"/>
      <c r="D19" s="11"/>
      <c r="E19" s="12"/>
      <c r="F19" s="33"/>
      <c r="G19" s="47"/>
      <c r="H19" s="47"/>
      <c r="I19" s="47"/>
      <c r="J19" s="47"/>
      <c r="K19" s="37"/>
      <c r="L19" s="38"/>
      <c r="M19" s="38"/>
      <c r="N19" s="38"/>
      <c r="O19" s="38"/>
      <c r="P19" s="38"/>
    </row>
    <row r="20" ht="15.75" customHeight="1">
      <c r="A20" s="4"/>
      <c r="B20" s="48" t="s">
        <v>37</v>
      </c>
      <c r="C20" s="11"/>
      <c r="D20" s="11"/>
      <c r="E20" s="12"/>
      <c r="F20" s="33"/>
      <c r="G20" s="47"/>
      <c r="H20" s="47"/>
      <c r="I20" s="47"/>
      <c r="J20" s="47"/>
      <c r="K20" s="37"/>
      <c r="L20" s="38"/>
      <c r="M20" s="38"/>
      <c r="N20" s="38"/>
      <c r="O20" s="38"/>
      <c r="P20" s="38"/>
    </row>
    <row r="21" ht="15.75" customHeight="1">
      <c r="A21" s="4"/>
      <c r="B21" s="48" t="s">
        <v>38</v>
      </c>
      <c r="C21" s="11"/>
      <c r="D21" s="11"/>
      <c r="E21" s="12"/>
      <c r="F21" s="33"/>
      <c r="G21" s="47"/>
      <c r="H21" s="47"/>
      <c r="I21" s="47"/>
      <c r="J21" s="47"/>
      <c r="K21" s="37"/>
      <c r="L21" s="38"/>
      <c r="M21" s="38"/>
      <c r="N21" s="38"/>
      <c r="O21" s="38"/>
      <c r="P21" s="38"/>
    </row>
    <row r="22" ht="15.75" customHeight="1">
      <c r="A22" s="4"/>
      <c r="B22" s="48" t="s">
        <v>39</v>
      </c>
      <c r="C22" s="11"/>
      <c r="D22" s="11"/>
      <c r="E22" s="12"/>
      <c r="F22" s="33"/>
      <c r="G22" s="47"/>
      <c r="H22" s="47"/>
      <c r="I22" s="47"/>
      <c r="J22" s="47"/>
      <c r="K22" s="37"/>
      <c r="L22" s="38"/>
      <c r="M22" s="38"/>
      <c r="N22" s="38"/>
      <c r="O22" s="38"/>
      <c r="P22" s="38"/>
    </row>
    <row r="23" ht="15.75" customHeight="1">
      <c r="A23" s="4"/>
      <c r="B23" s="48" t="s">
        <v>40</v>
      </c>
      <c r="C23" s="11"/>
      <c r="D23" s="11"/>
      <c r="E23" s="12"/>
      <c r="F23" s="49"/>
      <c r="G23" s="47"/>
      <c r="H23" s="47"/>
      <c r="I23" s="47"/>
      <c r="J23" s="47"/>
      <c r="K23" s="37"/>
      <c r="L23" s="38"/>
      <c r="M23" s="38"/>
      <c r="N23" s="38"/>
      <c r="O23" s="38"/>
      <c r="P23" s="38"/>
    </row>
    <row r="24" ht="15.75" customHeight="1">
      <c r="A24" s="4"/>
      <c r="B24" s="32"/>
      <c r="C24" s="33"/>
      <c r="D24" s="34"/>
      <c r="E24" s="35"/>
      <c r="F24" s="47"/>
      <c r="G24" s="47"/>
      <c r="H24" s="47"/>
      <c r="I24" s="47"/>
      <c r="J24" s="47"/>
      <c r="K24" s="37"/>
      <c r="L24" s="38"/>
      <c r="M24" s="38"/>
      <c r="N24" s="38"/>
      <c r="O24" s="38"/>
      <c r="P24" s="38"/>
    </row>
    <row r="25" ht="15.75" customHeight="1">
      <c r="A25" s="4"/>
      <c r="B25" s="32"/>
      <c r="C25" s="33"/>
      <c r="D25" s="34"/>
      <c r="E25" s="35"/>
      <c r="F25" s="47"/>
      <c r="G25" s="47"/>
      <c r="H25" s="47"/>
      <c r="I25" s="47"/>
      <c r="J25" s="47"/>
      <c r="K25" s="37"/>
      <c r="L25" s="38"/>
      <c r="M25" s="38"/>
      <c r="N25" s="38"/>
      <c r="O25" s="38"/>
      <c r="P25" s="38"/>
    </row>
    <row r="26" ht="15.75" customHeight="1">
      <c r="A26" s="4"/>
      <c r="B26" s="32"/>
      <c r="C26" s="33"/>
      <c r="D26" s="34"/>
      <c r="E26" s="35"/>
      <c r="F26" s="47"/>
      <c r="G26" s="47"/>
      <c r="H26" s="47"/>
      <c r="I26" s="47"/>
      <c r="J26" s="47"/>
      <c r="K26" s="37"/>
      <c r="L26" s="38"/>
      <c r="M26" s="38"/>
      <c r="N26" s="38"/>
      <c r="O26" s="38"/>
      <c r="P26" s="38"/>
    </row>
    <row r="27" ht="15.75" customHeight="1">
      <c r="A27" s="4"/>
      <c r="B27" s="32"/>
      <c r="C27" s="33"/>
      <c r="D27" s="34"/>
      <c r="E27" s="35"/>
      <c r="F27" s="47"/>
      <c r="G27" s="47"/>
      <c r="H27" s="47"/>
      <c r="I27" s="47"/>
      <c r="J27" s="47"/>
      <c r="K27" s="37"/>
      <c r="L27" s="38"/>
      <c r="M27" s="38"/>
      <c r="N27" s="38"/>
      <c r="O27" s="38"/>
      <c r="P27" s="38"/>
    </row>
    <row r="28" ht="15.75" customHeight="1">
      <c r="A28" s="4"/>
      <c r="B28" s="32"/>
      <c r="C28" s="33"/>
      <c r="D28" s="34"/>
      <c r="E28" s="35"/>
      <c r="F28" s="47"/>
      <c r="G28" s="47"/>
      <c r="H28" s="47"/>
      <c r="I28" s="47"/>
      <c r="J28" s="47"/>
      <c r="K28" s="37"/>
      <c r="L28" s="38"/>
      <c r="M28" s="38"/>
      <c r="N28" s="38"/>
      <c r="O28" s="38"/>
      <c r="P28" s="38"/>
    </row>
    <row r="29" ht="15.75" customHeight="1">
      <c r="A29" s="4"/>
      <c r="B29" s="32"/>
      <c r="C29" s="33"/>
      <c r="D29" s="34"/>
      <c r="E29" s="35"/>
      <c r="F29" s="47"/>
      <c r="G29" s="47"/>
      <c r="H29" s="47"/>
      <c r="I29" s="47"/>
      <c r="J29" s="47"/>
      <c r="K29" s="37"/>
      <c r="L29" s="38"/>
      <c r="M29" s="38"/>
      <c r="N29" s="38"/>
      <c r="O29" s="38"/>
      <c r="P29" s="38"/>
    </row>
    <row r="30" ht="15.75" customHeight="1">
      <c r="A30" s="4"/>
      <c r="B30" s="32"/>
      <c r="C30" s="33"/>
      <c r="D30" s="34"/>
      <c r="E30" s="35"/>
      <c r="F30" s="47"/>
      <c r="G30" s="47"/>
      <c r="H30" s="47"/>
      <c r="I30" s="47"/>
      <c r="J30" s="47"/>
      <c r="K30" s="37"/>
      <c r="L30" s="38"/>
      <c r="M30" s="38"/>
      <c r="N30" s="38"/>
      <c r="O30" s="38"/>
      <c r="P30" s="38"/>
    </row>
    <row r="31" ht="15.75" customHeight="1">
      <c r="A31" s="4"/>
      <c r="B31" s="32"/>
      <c r="C31" s="33"/>
      <c r="D31" s="34"/>
      <c r="E31" s="35"/>
      <c r="F31" s="47"/>
      <c r="G31" s="47"/>
      <c r="H31" s="47"/>
      <c r="I31" s="47"/>
      <c r="J31" s="47"/>
      <c r="K31" s="37"/>
      <c r="L31" s="38"/>
      <c r="M31" s="38"/>
      <c r="N31" s="38"/>
      <c r="O31" s="38"/>
      <c r="P31" s="38"/>
    </row>
    <row r="32" ht="15.75" customHeight="1">
      <c r="A32" s="4"/>
      <c r="B32" s="32"/>
      <c r="C32" s="33"/>
      <c r="D32" s="34"/>
      <c r="E32" s="35"/>
      <c r="F32" s="47"/>
      <c r="G32" s="47"/>
      <c r="H32" s="47"/>
      <c r="I32" s="47"/>
      <c r="J32" s="47"/>
      <c r="K32" s="37"/>
      <c r="L32" s="38"/>
      <c r="M32" s="38"/>
      <c r="N32" s="38"/>
      <c r="O32" s="38"/>
      <c r="P32" s="38"/>
    </row>
    <row r="33" ht="15.75" customHeight="1">
      <c r="A33" s="4"/>
      <c r="B33" s="32"/>
      <c r="C33" s="33"/>
      <c r="D33" s="34"/>
      <c r="E33" s="35"/>
      <c r="F33" s="47"/>
      <c r="G33" s="47"/>
      <c r="H33" s="47"/>
      <c r="I33" s="47"/>
      <c r="J33" s="47"/>
      <c r="K33" s="37"/>
      <c r="L33" s="38"/>
      <c r="M33" s="38"/>
      <c r="N33" s="38"/>
      <c r="O33" s="38"/>
      <c r="P33" s="38"/>
    </row>
    <row r="34" ht="15.75" customHeight="1">
      <c r="A34" s="4"/>
      <c r="B34" s="32"/>
      <c r="C34" s="33"/>
      <c r="D34" s="34"/>
      <c r="E34" s="35"/>
      <c r="F34" s="47"/>
      <c r="G34" s="47"/>
      <c r="H34" s="47"/>
      <c r="I34" s="47"/>
      <c r="J34" s="47"/>
      <c r="K34" s="37"/>
      <c r="L34" s="38"/>
      <c r="M34" s="38"/>
      <c r="N34" s="38"/>
      <c r="O34" s="38"/>
      <c r="P34" s="38"/>
    </row>
    <row r="35" ht="15.75" customHeight="1">
      <c r="A35" s="4"/>
      <c r="B35" s="32"/>
      <c r="C35" s="33"/>
      <c r="D35" s="34"/>
      <c r="E35" s="35"/>
      <c r="F35" s="47"/>
      <c r="G35" s="47"/>
      <c r="H35" s="47"/>
      <c r="I35" s="47"/>
      <c r="J35" s="47"/>
      <c r="K35" s="37"/>
      <c r="L35" s="38"/>
      <c r="M35" s="38"/>
      <c r="N35" s="38"/>
      <c r="O35" s="38"/>
      <c r="P35" s="38"/>
    </row>
    <row r="36" ht="15.75" customHeight="1">
      <c r="A36" s="4"/>
      <c r="B36" s="32"/>
      <c r="C36" s="33"/>
      <c r="D36" s="34"/>
      <c r="E36" s="35"/>
      <c r="F36" s="47"/>
      <c r="G36" s="47"/>
      <c r="H36" s="47"/>
      <c r="I36" s="47"/>
      <c r="J36" s="47"/>
      <c r="K36" s="37"/>
      <c r="L36" s="38"/>
      <c r="M36" s="38"/>
      <c r="N36" s="38"/>
      <c r="O36" s="38"/>
      <c r="P36" s="38"/>
    </row>
    <row r="37" ht="15.75" customHeight="1">
      <c r="A37" s="4"/>
      <c r="B37" s="32"/>
      <c r="C37" s="33"/>
      <c r="D37" s="34"/>
      <c r="E37" s="35"/>
      <c r="F37" s="47"/>
      <c r="G37" s="47"/>
      <c r="H37" s="47"/>
      <c r="I37" s="47"/>
      <c r="J37" s="47"/>
      <c r="K37" s="37"/>
      <c r="L37" s="38"/>
      <c r="M37" s="38"/>
      <c r="N37" s="38"/>
      <c r="O37" s="38"/>
      <c r="P37" s="38"/>
    </row>
    <row r="38" ht="15.75" customHeight="1">
      <c r="A38" s="4"/>
      <c r="B38" s="32"/>
      <c r="C38" s="33"/>
      <c r="D38" s="34"/>
      <c r="E38" s="35"/>
      <c r="F38" s="47"/>
      <c r="G38" s="47"/>
      <c r="H38" s="47"/>
      <c r="I38" s="47"/>
      <c r="J38" s="47"/>
      <c r="K38" s="37"/>
      <c r="L38" s="38"/>
      <c r="M38" s="38"/>
      <c r="N38" s="38"/>
      <c r="O38" s="38"/>
      <c r="P38" s="38"/>
    </row>
    <row r="39" ht="15.75" customHeight="1">
      <c r="A39" s="4"/>
      <c r="B39" s="32"/>
      <c r="C39" s="33"/>
      <c r="D39" s="34"/>
      <c r="E39" s="35"/>
      <c r="F39" s="47"/>
      <c r="G39" s="47"/>
      <c r="H39" s="47"/>
      <c r="I39" s="47"/>
      <c r="J39" s="47"/>
      <c r="K39" s="37"/>
      <c r="L39" s="38"/>
      <c r="M39" s="38"/>
      <c r="N39" s="38"/>
      <c r="O39" s="38"/>
      <c r="P39" s="38"/>
    </row>
    <row r="40" ht="15.75" customHeight="1">
      <c r="A40" s="4"/>
      <c r="B40" s="32"/>
      <c r="C40" s="33"/>
      <c r="D40" s="34"/>
      <c r="E40" s="35"/>
      <c r="F40" s="47"/>
      <c r="G40" s="47"/>
      <c r="H40" s="47"/>
      <c r="I40" s="47"/>
      <c r="J40" s="47"/>
      <c r="K40" s="37"/>
      <c r="L40" s="38"/>
      <c r="M40" s="38"/>
      <c r="N40" s="38"/>
      <c r="O40" s="38"/>
      <c r="P40" s="38"/>
    </row>
    <row r="41" ht="15.75" customHeight="1">
      <c r="A41" s="4"/>
      <c r="B41" s="32"/>
      <c r="C41" s="33"/>
      <c r="D41" s="34"/>
      <c r="E41" s="35"/>
      <c r="F41" s="47"/>
      <c r="G41" s="47"/>
      <c r="H41" s="47"/>
      <c r="I41" s="47"/>
      <c r="J41" s="47"/>
      <c r="K41" s="37"/>
      <c r="L41" s="38"/>
      <c r="M41" s="38"/>
      <c r="N41" s="38"/>
      <c r="O41" s="38"/>
      <c r="P41" s="38"/>
    </row>
    <row r="42" ht="15.75" customHeight="1">
      <c r="A42" s="4"/>
      <c r="B42" s="32"/>
      <c r="C42" s="33"/>
      <c r="D42" s="34"/>
      <c r="E42" s="35"/>
      <c r="F42" s="47"/>
      <c r="G42" s="47"/>
      <c r="H42" s="47"/>
      <c r="I42" s="47"/>
      <c r="J42" s="47"/>
      <c r="K42" s="37"/>
      <c r="L42" s="38"/>
      <c r="M42" s="38"/>
      <c r="N42" s="38"/>
      <c r="O42" s="38"/>
      <c r="P42" s="38"/>
    </row>
    <row r="43" ht="15.75" customHeight="1">
      <c r="A43" s="4"/>
      <c r="B43" s="32"/>
      <c r="C43" s="33"/>
      <c r="D43" s="34"/>
      <c r="E43" s="35"/>
      <c r="F43" s="47"/>
      <c r="G43" s="47"/>
      <c r="H43" s="47"/>
      <c r="I43" s="47"/>
      <c r="J43" s="47"/>
      <c r="K43" s="37"/>
      <c r="L43" s="38"/>
      <c r="M43" s="38"/>
      <c r="N43" s="38"/>
      <c r="O43" s="38"/>
      <c r="P43" s="38"/>
    </row>
    <row r="44" ht="15.75" customHeight="1">
      <c r="A44" s="4"/>
      <c r="B44" s="32"/>
      <c r="C44" s="33"/>
      <c r="D44" s="34"/>
      <c r="E44" s="35"/>
      <c r="F44" s="47"/>
      <c r="G44" s="47"/>
      <c r="H44" s="47"/>
      <c r="I44" s="47"/>
      <c r="J44" s="47"/>
      <c r="K44" s="37"/>
      <c r="L44" s="38"/>
      <c r="M44" s="38"/>
      <c r="N44" s="38"/>
      <c r="O44" s="38"/>
      <c r="P44" s="38"/>
    </row>
    <row r="45" ht="15.75" customHeight="1">
      <c r="A45" s="4"/>
      <c r="B45" s="32"/>
      <c r="C45" s="33"/>
      <c r="D45" s="34"/>
      <c r="E45" s="35"/>
      <c r="F45" s="47"/>
      <c r="G45" s="47"/>
      <c r="H45" s="47"/>
      <c r="I45" s="47"/>
      <c r="J45" s="47"/>
      <c r="K45" s="37"/>
      <c r="L45" s="38"/>
      <c r="M45" s="38"/>
      <c r="N45" s="38"/>
      <c r="O45" s="38"/>
      <c r="P45" s="38"/>
    </row>
    <row r="46" ht="15.75" customHeight="1">
      <c r="A46" s="4"/>
      <c r="B46" s="32"/>
      <c r="C46" s="33"/>
      <c r="D46" s="34"/>
      <c r="E46" s="35"/>
      <c r="F46" s="47"/>
      <c r="G46" s="47"/>
      <c r="H46" s="47"/>
      <c r="I46" s="47"/>
      <c r="J46" s="47"/>
      <c r="K46" s="37"/>
      <c r="L46" s="38"/>
      <c r="M46" s="38"/>
      <c r="N46" s="38"/>
      <c r="O46" s="38"/>
      <c r="P46" s="38"/>
    </row>
    <row r="47" ht="15.75" customHeight="1">
      <c r="A47" s="4"/>
      <c r="B47" s="32"/>
      <c r="C47" s="33"/>
      <c r="D47" s="34"/>
      <c r="E47" s="35"/>
      <c r="F47" s="47"/>
      <c r="G47" s="47"/>
      <c r="H47" s="47"/>
      <c r="I47" s="47"/>
      <c r="J47" s="47"/>
      <c r="K47" s="37"/>
      <c r="L47" s="38"/>
      <c r="M47" s="38"/>
      <c r="N47" s="38"/>
      <c r="O47" s="38"/>
      <c r="P47" s="38"/>
    </row>
    <row r="48" ht="15.75" customHeight="1">
      <c r="A48" s="4"/>
      <c r="B48" s="32"/>
      <c r="C48" s="33"/>
      <c r="D48" s="34"/>
      <c r="E48" s="35"/>
      <c r="F48" s="47"/>
      <c r="G48" s="47"/>
      <c r="H48" s="47"/>
      <c r="I48" s="47"/>
      <c r="J48" s="47"/>
      <c r="K48" s="37"/>
      <c r="L48" s="38"/>
      <c r="M48" s="38"/>
      <c r="N48" s="38"/>
      <c r="O48" s="38"/>
      <c r="P48" s="38"/>
    </row>
    <row r="49" ht="15.75" customHeight="1">
      <c r="A49" s="4"/>
      <c r="B49" s="32"/>
      <c r="C49" s="33"/>
      <c r="D49" s="34"/>
      <c r="E49" s="35"/>
      <c r="F49" s="47"/>
      <c r="G49" s="47"/>
      <c r="H49" s="47"/>
      <c r="I49" s="47"/>
      <c r="J49" s="47"/>
      <c r="K49" s="37"/>
      <c r="L49" s="38"/>
      <c r="M49" s="38"/>
      <c r="N49" s="38"/>
      <c r="O49" s="38"/>
      <c r="P49" s="38"/>
    </row>
    <row r="50" ht="15.75" customHeight="1">
      <c r="A50" s="4"/>
      <c r="B50" s="32"/>
      <c r="C50" s="33"/>
      <c r="D50" s="34"/>
      <c r="E50" s="35"/>
      <c r="F50" s="47"/>
      <c r="G50" s="47"/>
      <c r="H50" s="47"/>
      <c r="I50" s="47"/>
      <c r="J50" s="47"/>
      <c r="K50" s="37"/>
      <c r="L50" s="38"/>
      <c r="M50" s="38"/>
      <c r="N50" s="38"/>
      <c r="O50" s="38"/>
      <c r="P50" s="38"/>
    </row>
    <row r="51" ht="15.75" customHeight="1">
      <c r="A51" s="4"/>
      <c r="B51" s="32"/>
      <c r="C51" s="33"/>
      <c r="D51" s="34"/>
      <c r="E51" s="35"/>
      <c r="F51" s="47"/>
      <c r="G51" s="47"/>
      <c r="H51" s="47"/>
      <c r="I51" s="47"/>
      <c r="J51" s="47"/>
      <c r="K51" s="37"/>
      <c r="L51" s="38"/>
      <c r="M51" s="38"/>
      <c r="N51" s="38"/>
      <c r="O51" s="38"/>
      <c r="P51" s="38"/>
    </row>
    <row r="52" ht="15.75" customHeight="1">
      <c r="A52" s="4"/>
      <c r="B52" s="32"/>
      <c r="C52" s="33"/>
      <c r="D52" s="34"/>
      <c r="E52" s="35"/>
      <c r="F52" s="47"/>
      <c r="G52" s="47"/>
      <c r="H52" s="47"/>
      <c r="I52" s="47"/>
      <c r="J52" s="47"/>
      <c r="K52" s="37"/>
      <c r="L52" s="38"/>
      <c r="M52" s="38"/>
      <c r="N52" s="38"/>
      <c r="O52" s="38"/>
      <c r="P52" s="38"/>
    </row>
    <row r="53" ht="15.75" customHeight="1">
      <c r="A53" s="4"/>
      <c r="B53" s="32"/>
      <c r="C53" s="33"/>
      <c r="D53" s="34"/>
      <c r="E53" s="35"/>
      <c r="F53" s="47"/>
      <c r="G53" s="47"/>
      <c r="H53" s="47"/>
      <c r="I53" s="47"/>
      <c r="J53" s="47"/>
      <c r="K53" s="37"/>
      <c r="L53" s="38"/>
      <c r="M53" s="38"/>
      <c r="N53" s="38"/>
      <c r="O53" s="38"/>
      <c r="P53" s="38"/>
    </row>
    <row r="54" ht="15.75" customHeight="1">
      <c r="A54" s="4"/>
      <c r="B54" s="32"/>
      <c r="C54" s="33"/>
      <c r="D54" s="34"/>
      <c r="E54" s="35"/>
      <c r="F54" s="47"/>
      <c r="G54" s="47"/>
      <c r="H54" s="47"/>
      <c r="I54" s="47"/>
      <c r="J54" s="47"/>
      <c r="K54" s="37"/>
      <c r="L54" s="38"/>
      <c r="M54" s="38"/>
      <c r="N54" s="38"/>
      <c r="O54" s="38"/>
      <c r="P54" s="38"/>
    </row>
    <row r="55" ht="15.75" customHeight="1">
      <c r="A55" s="4"/>
      <c r="B55" s="32"/>
      <c r="C55" s="33"/>
      <c r="D55" s="34"/>
      <c r="E55" s="35"/>
      <c r="F55" s="47"/>
      <c r="G55" s="47"/>
      <c r="H55" s="47"/>
      <c r="I55" s="47"/>
      <c r="J55" s="47"/>
      <c r="K55" s="37"/>
      <c r="L55" s="38"/>
      <c r="M55" s="38"/>
      <c r="N55" s="38"/>
      <c r="O55" s="38"/>
      <c r="P55" s="38"/>
    </row>
    <row r="56" ht="15.75" customHeight="1">
      <c r="A56" s="4"/>
      <c r="B56" s="32"/>
      <c r="C56" s="33"/>
      <c r="D56" s="34"/>
      <c r="E56" s="35"/>
      <c r="F56" s="47"/>
      <c r="G56" s="47"/>
      <c r="H56" s="47"/>
      <c r="I56" s="47"/>
      <c r="J56" s="47"/>
      <c r="K56" s="37"/>
      <c r="L56" s="38"/>
      <c r="M56" s="38"/>
      <c r="N56" s="38"/>
      <c r="O56" s="38"/>
      <c r="P56" s="38"/>
    </row>
    <row r="57" ht="15.75" customHeight="1">
      <c r="A57" s="4"/>
      <c r="B57" s="32"/>
      <c r="C57" s="33"/>
      <c r="D57" s="34"/>
      <c r="E57" s="35"/>
      <c r="F57" s="47"/>
      <c r="G57" s="47"/>
      <c r="H57" s="47"/>
      <c r="I57" s="47"/>
      <c r="J57" s="47"/>
      <c r="K57" s="37"/>
      <c r="L57" s="38"/>
      <c r="M57" s="38"/>
      <c r="N57" s="38"/>
      <c r="O57" s="38"/>
      <c r="P57" s="38"/>
    </row>
    <row r="58" ht="15.75" customHeight="1">
      <c r="A58" s="4"/>
      <c r="B58" s="32"/>
      <c r="C58" s="33"/>
      <c r="D58" s="34"/>
      <c r="E58" s="35"/>
      <c r="F58" s="47"/>
      <c r="G58" s="47"/>
      <c r="H58" s="47"/>
      <c r="I58" s="47"/>
      <c r="J58" s="47"/>
      <c r="K58" s="37"/>
      <c r="L58" s="38"/>
      <c r="M58" s="38"/>
      <c r="N58" s="38"/>
      <c r="O58" s="38"/>
      <c r="P58" s="38"/>
    </row>
    <row r="59" ht="15.75" customHeight="1">
      <c r="A59" s="4"/>
      <c r="B59" s="32"/>
      <c r="C59" s="33"/>
      <c r="D59" s="34"/>
      <c r="E59" s="35"/>
      <c r="F59" s="47"/>
      <c r="G59" s="47"/>
      <c r="H59" s="47"/>
      <c r="I59" s="47"/>
      <c r="J59" s="47"/>
      <c r="K59" s="37"/>
      <c r="L59" s="38"/>
      <c r="M59" s="38"/>
      <c r="N59" s="38"/>
      <c r="O59" s="38"/>
      <c r="P59" s="38"/>
    </row>
    <row r="60" ht="15.75" customHeight="1">
      <c r="A60" s="4"/>
      <c r="B60" s="32"/>
      <c r="C60" s="33"/>
      <c r="D60" s="34"/>
      <c r="E60" s="35"/>
      <c r="F60" s="47"/>
      <c r="G60" s="47"/>
      <c r="H60" s="47"/>
      <c r="I60" s="47"/>
      <c r="J60" s="47"/>
      <c r="K60" s="37"/>
      <c r="L60" s="38"/>
      <c r="M60" s="38"/>
      <c r="N60" s="38"/>
      <c r="O60" s="38"/>
      <c r="P60" s="38"/>
    </row>
    <row r="61" ht="15.75" customHeight="1">
      <c r="A61" s="4"/>
      <c r="B61" s="32"/>
      <c r="C61" s="33"/>
      <c r="D61" s="34"/>
      <c r="E61" s="35"/>
      <c r="F61" s="47"/>
      <c r="G61" s="47"/>
      <c r="H61" s="47"/>
      <c r="I61" s="47"/>
      <c r="J61" s="47"/>
      <c r="K61" s="37"/>
      <c r="L61" s="38"/>
      <c r="M61" s="38"/>
      <c r="N61" s="38"/>
      <c r="O61" s="38"/>
      <c r="P61" s="38"/>
    </row>
    <row r="62" ht="15.75" customHeight="1">
      <c r="A62" s="4"/>
      <c r="B62" s="32"/>
      <c r="C62" s="33"/>
      <c r="D62" s="34"/>
      <c r="E62" s="35"/>
      <c r="F62" s="47"/>
      <c r="G62" s="47"/>
      <c r="H62" s="47"/>
      <c r="I62" s="47"/>
      <c r="J62" s="47"/>
      <c r="K62" s="37"/>
      <c r="L62" s="38"/>
      <c r="M62" s="38"/>
      <c r="N62" s="38"/>
      <c r="O62" s="38"/>
      <c r="P62" s="38"/>
    </row>
    <row r="63" ht="15.75" customHeight="1">
      <c r="A63" s="4"/>
      <c r="B63" s="32"/>
      <c r="C63" s="33"/>
      <c r="D63" s="34"/>
      <c r="E63" s="35"/>
      <c r="F63" s="47"/>
      <c r="G63" s="47"/>
      <c r="H63" s="47"/>
      <c r="I63" s="47"/>
      <c r="J63" s="47"/>
      <c r="K63" s="37"/>
      <c r="L63" s="38"/>
      <c r="M63" s="38"/>
      <c r="N63" s="38"/>
      <c r="O63" s="38"/>
      <c r="P63" s="38"/>
    </row>
    <row r="64" ht="15.75" customHeight="1">
      <c r="A64" s="4"/>
      <c r="B64" s="32"/>
      <c r="C64" s="33"/>
      <c r="D64" s="34"/>
      <c r="E64" s="35"/>
      <c r="F64" s="47"/>
      <c r="G64" s="47"/>
      <c r="H64" s="47"/>
      <c r="I64" s="47"/>
      <c r="J64" s="47"/>
      <c r="K64" s="37"/>
      <c r="L64" s="38"/>
      <c r="M64" s="38"/>
      <c r="N64" s="38"/>
      <c r="O64" s="38"/>
      <c r="P64" s="38"/>
    </row>
    <row r="65" ht="15.75" customHeight="1">
      <c r="A65" s="4"/>
      <c r="B65" s="32"/>
      <c r="C65" s="33"/>
      <c r="D65" s="34"/>
      <c r="E65" s="35"/>
      <c r="F65" s="47"/>
      <c r="G65" s="47"/>
      <c r="H65" s="47"/>
      <c r="I65" s="47"/>
      <c r="J65" s="47"/>
      <c r="K65" s="37"/>
      <c r="L65" s="38"/>
      <c r="M65" s="38"/>
      <c r="N65" s="38"/>
      <c r="O65" s="38"/>
      <c r="P65" s="38"/>
    </row>
    <row r="66" ht="15.75" customHeight="1">
      <c r="A66" s="4"/>
      <c r="B66" s="32"/>
      <c r="C66" s="33"/>
      <c r="D66" s="34"/>
      <c r="E66" s="35"/>
      <c r="F66" s="47"/>
      <c r="G66" s="47"/>
      <c r="H66" s="47"/>
      <c r="I66" s="47"/>
      <c r="J66" s="47"/>
      <c r="K66" s="37"/>
      <c r="L66" s="38"/>
      <c r="M66" s="38"/>
      <c r="N66" s="38"/>
      <c r="O66" s="38"/>
      <c r="P66" s="38"/>
    </row>
    <row r="67" ht="15.75" customHeight="1">
      <c r="A67" s="4"/>
      <c r="B67" s="32"/>
      <c r="C67" s="33"/>
      <c r="D67" s="34"/>
      <c r="E67" s="35"/>
      <c r="F67" s="47"/>
      <c r="G67" s="47"/>
      <c r="H67" s="47"/>
      <c r="I67" s="47"/>
      <c r="J67" s="47"/>
      <c r="K67" s="37"/>
      <c r="L67" s="38"/>
      <c r="M67" s="38"/>
      <c r="N67" s="38"/>
      <c r="O67" s="38"/>
      <c r="P67" s="38"/>
    </row>
    <row r="68" ht="15.75" customHeight="1">
      <c r="A68" s="4"/>
      <c r="B68" s="32"/>
      <c r="C68" s="33"/>
      <c r="D68" s="34"/>
      <c r="E68" s="35"/>
      <c r="F68" s="47"/>
      <c r="G68" s="47"/>
      <c r="H68" s="47"/>
      <c r="I68" s="47"/>
      <c r="J68" s="47"/>
      <c r="K68" s="37"/>
      <c r="L68" s="38"/>
      <c r="M68" s="38"/>
      <c r="N68" s="38"/>
      <c r="O68" s="38"/>
      <c r="P68" s="38"/>
    </row>
    <row r="69" ht="15.75" customHeight="1">
      <c r="A69" s="4"/>
      <c r="B69" s="32"/>
      <c r="C69" s="33"/>
      <c r="D69" s="34"/>
      <c r="E69" s="35"/>
      <c r="F69" s="47"/>
      <c r="G69" s="47"/>
      <c r="H69" s="47"/>
      <c r="I69" s="47"/>
      <c r="J69" s="47"/>
      <c r="K69" s="37"/>
      <c r="L69" s="38"/>
      <c r="M69" s="38"/>
      <c r="N69" s="38"/>
      <c r="O69" s="38"/>
      <c r="P69" s="38"/>
    </row>
    <row r="70" ht="15.75" customHeight="1">
      <c r="A70" s="4"/>
      <c r="B70" s="32"/>
      <c r="C70" s="33"/>
      <c r="D70" s="34"/>
      <c r="E70" s="35"/>
      <c r="F70" s="47"/>
      <c r="G70" s="47"/>
      <c r="H70" s="47"/>
      <c r="I70" s="47"/>
      <c r="J70" s="47"/>
      <c r="K70" s="37"/>
      <c r="L70" s="38"/>
      <c r="M70" s="38"/>
      <c r="N70" s="38"/>
      <c r="O70" s="38"/>
      <c r="P70" s="38"/>
    </row>
    <row r="71" ht="15.75" customHeight="1">
      <c r="A71" s="4"/>
      <c r="B71" s="32"/>
      <c r="C71" s="33"/>
      <c r="D71" s="34"/>
      <c r="E71" s="35"/>
      <c r="F71" s="47"/>
      <c r="G71" s="47"/>
      <c r="H71" s="47"/>
      <c r="I71" s="47"/>
      <c r="J71" s="47"/>
      <c r="K71" s="37"/>
      <c r="L71" s="38"/>
      <c r="M71" s="38"/>
      <c r="N71" s="38"/>
      <c r="O71" s="38"/>
      <c r="P71" s="38"/>
    </row>
    <row r="72" ht="15.75" customHeight="1">
      <c r="A72" s="4"/>
      <c r="B72" s="32"/>
      <c r="C72" s="33"/>
      <c r="D72" s="34"/>
      <c r="E72" s="35"/>
      <c r="F72" s="47"/>
      <c r="G72" s="47"/>
      <c r="H72" s="47"/>
      <c r="I72" s="47"/>
      <c r="J72" s="47"/>
      <c r="K72" s="37"/>
      <c r="L72" s="38"/>
      <c r="M72" s="38"/>
      <c r="N72" s="38"/>
      <c r="O72" s="38"/>
      <c r="P72" s="38"/>
    </row>
    <row r="73" ht="15.75" customHeight="1">
      <c r="A73" s="4"/>
      <c r="B73" s="32"/>
      <c r="C73" s="33"/>
      <c r="D73" s="34"/>
      <c r="E73" s="35"/>
      <c r="F73" s="47"/>
      <c r="G73" s="47"/>
      <c r="H73" s="47"/>
      <c r="I73" s="47"/>
      <c r="J73" s="47"/>
      <c r="K73" s="37"/>
      <c r="L73" s="38"/>
      <c r="M73" s="38"/>
      <c r="N73" s="38"/>
      <c r="O73" s="38"/>
      <c r="P73" s="38"/>
    </row>
    <row r="74" ht="15.75" customHeight="1">
      <c r="A74" s="4"/>
      <c r="B74" s="32"/>
      <c r="C74" s="33"/>
      <c r="D74" s="34"/>
      <c r="E74" s="35"/>
      <c r="F74" s="47"/>
      <c r="G74" s="47"/>
      <c r="H74" s="47"/>
      <c r="I74" s="47"/>
      <c r="J74" s="47"/>
      <c r="K74" s="37"/>
      <c r="L74" s="38"/>
      <c r="M74" s="38"/>
      <c r="N74" s="38"/>
      <c r="O74" s="38"/>
      <c r="P74" s="38"/>
    </row>
    <row r="75" ht="15.75" customHeight="1">
      <c r="A75" s="4"/>
      <c r="B75" s="32"/>
      <c r="C75" s="33"/>
      <c r="D75" s="34"/>
      <c r="E75" s="35"/>
      <c r="F75" s="47"/>
      <c r="G75" s="47"/>
      <c r="H75" s="47"/>
      <c r="I75" s="47"/>
      <c r="J75" s="47"/>
      <c r="K75" s="37"/>
      <c r="L75" s="38"/>
      <c r="M75" s="38"/>
      <c r="N75" s="38"/>
      <c r="O75" s="38"/>
      <c r="P75" s="38"/>
    </row>
    <row r="76" ht="15.75" customHeight="1">
      <c r="A76" s="4"/>
      <c r="B76" s="32"/>
      <c r="C76" s="33"/>
      <c r="D76" s="34"/>
      <c r="E76" s="35"/>
      <c r="F76" s="47"/>
      <c r="G76" s="47"/>
      <c r="H76" s="47"/>
      <c r="I76" s="47"/>
      <c r="J76" s="47"/>
      <c r="K76" s="37"/>
      <c r="L76" s="38"/>
      <c r="M76" s="38"/>
      <c r="N76" s="38"/>
      <c r="O76" s="38"/>
      <c r="P76" s="38"/>
    </row>
    <row r="77" ht="15.75" customHeight="1">
      <c r="A77" s="4"/>
      <c r="B77" s="32"/>
      <c r="C77" s="33"/>
      <c r="D77" s="34"/>
      <c r="E77" s="35"/>
      <c r="F77" s="47"/>
      <c r="G77" s="47"/>
      <c r="H77" s="47"/>
      <c r="I77" s="47"/>
      <c r="J77" s="47"/>
      <c r="K77" s="37"/>
      <c r="L77" s="38"/>
      <c r="M77" s="38"/>
      <c r="N77" s="38"/>
      <c r="O77" s="38"/>
      <c r="P77" s="38"/>
    </row>
    <row r="78" ht="15.75" customHeight="1">
      <c r="A78" s="4"/>
      <c r="B78" s="32"/>
      <c r="C78" s="33"/>
      <c r="D78" s="34"/>
      <c r="E78" s="35"/>
      <c r="F78" s="47"/>
      <c r="G78" s="47"/>
      <c r="H78" s="47"/>
      <c r="I78" s="47"/>
      <c r="J78" s="47"/>
      <c r="K78" s="37"/>
      <c r="L78" s="38"/>
      <c r="M78" s="38"/>
      <c r="N78" s="38"/>
      <c r="O78" s="38"/>
      <c r="P78" s="38"/>
    </row>
    <row r="79" ht="15.75" customHeight="1">
      <c r="A79" s="4"/>
      <c r="B79" s="32"/>
      <c r="C79" s="33"/>
      <c r="D79" s="34"/>
      <c r="E79" s="35"/>
      <c r="F79" s="47"/>
      <c r="G79" s="47"/>
      <c r="H79" s="47"/>
      <c r="I79" s="47"/>
      <c r="J79" s="47"/>
      <c r="K79" s="37"/>
      <c r="L79" s="38"/>
      <c r="M79" s="38"/>
      <c r="N79" s="38"/>
      <c r="O79" s="38"/>
      <c r="P79" s="38"/>
    </row>
    <row r="80" ht="15.75" customHeight="1">
      <c r="A80" s="4"/>
      <c r="B80" s="32"/>
      <c r="C80" s="33"/>
      <c r="D80" s="34"/>
      <c r="E80" s="35"/>
      <c r="F80" s="47"/>
      <c r="G80" s="47"/>
      <c r="H80" s="47"/>
      <c r="I80" s="47"/>
      <c r="J80" s="47"/>
      <c r="K80" s="37"/>
      <c r="L80" s="38"/>
      <c r="M80" s="38"/>
      <c r="N80" s="38"/>
      <c r="O80" s="38"/>
      <c r="P80" s="38"/>
    </row>
    <row r="81" ht="15.75" customHeight="1">
      <c r="A81" s="4"/>
      <c r="B81" s="32"/>
      <c r="C81" s="33"/>
      <c r="D81" s="34"/>
      <c r="E81" s="35"/>
      <c r="F81" s="47"/>
      <c r="G81" s="47"/>
      <c r="H81" s="47"/>
      <c r="I81" s="47"/>
      <c r="J81" s="47"/>
      <c r="K81" s="37"/>
      <c r="L81" s="38"/>
      <c r="M81" s="38"/>
      <c r="N81" s="38"/>
      <c r="O81" s="38"/>
      <c r="P81" s="38"/>
    </row>
    <row r="82" ht="15.75" customHeight="1">
      <c r="A82" s="4"/>
      <c r="B82" s="32"/>
      <c r="C82" s="33"/>
      <c r="D82" s="34"/>
      <c r="E82" s="35"/>
      <c r="F82" s="47"/>
      <c r="G82" s="47"/>
      <c r="H82" s="47"/>
      <c r="I82" s="47"/>
      <c r="J82" s="47"/>
      <c r="K82" s="37"/>
      <c r="L82" s="38"/>
      <c r="M82" s="38"/>
      <c r="N82" s="38"/>
      <c r="O82" s="38"/>
      <c r="P82" s="38"/>
    </row>
    <row r="83" ht="15.75" customHeight="1">
      <c r="A83" s="4"/>
      <c r="B83" s="32"/>
      <c r="C83" s="33"/>
      <c r="D83" s="34"/>
      <c r="E83" s="35"/>
      <c r="F83" s="47"/>
      <c r="G83" s="47"/>
      <c r="H83" s="47"/>
      <c r="I83" s="47"/>
      <c r="J83" s="47"/>
      <c r="K83" s="37"/>
      <c r="L83" s="38"/>
      <c r="M83" s="38"/>
      <c r="N83" s="38"/>
      <c r="O83" s="38"/>
      <c r="P83" s="38"/>
    </row>
    <row r="84" ht="15.75" customHeight="1">
      <c r="A84" s="4"/>
      <c r="B84" s="32"/>
      <c r="C84" s="33"/>
      <c r="D84" s="34"/>
      <c r="E84" s="35"/>
      <c r="F84" s="47"/>
      <c r="G84" s="47"/>
      <c r="H84" s="47"/>
      <c r="I84" s="47"/>
      <c r="J84" s="47"/>
      <c r="K84" s="37"/>
      <c r="L84" s="38"/>
      <c r="M84" s="38"/>
      <c r="N84" s="38"/>
      <c r="O84" s="38"/>
      <c r="P84" s="38"/>
    </row>
    <row r="85" ht="15.75" customHeight="1">
      <c r="A85" s="4"/>
      <c r="B85" s="32"/>
      <c r="C85" s="33"/>
      <c r="D85" s="34"/>
      <c r="E85" s="35"/>
      <c r="F85" s="47"/>
      <c r="G85" s="47"/>
      <c r="H85" s="47"/>
      <c r="I85" s="47"/>
      <c r="J85" s="47"/>
      <c r="K85" s="37"/>
      <c r="L85" s="38"/>
      <c r="M85" s="38"/>
      <c r="N85" s="38"/>
      <c r="O85" s="38"/>
      <c r="P85" s="38"/>
    </row>
    <row r="86" ht="15.75" customHeight="1">
      <c r="A86" s="4"/>
      <c r="B86" s="32"/>
      <c r="C86" s="33"/>
      <c r="D86" s="34"/>
      <c r="E86" s="35"/>
      <c r="F86" s="47"/>
      <c r="G86" s="47"/>
      <c r="H86" s="47"/>
      <c r="I86" s="47"/>
      <c r="J86" s="47"/>
      <c r="K86" s="37"/>
      <c r="L86" s="38"/>
      <c r="M86" s="38"/>
      <c r="N86" s="38"/>
      <c r="O86" s="38"/>
      <c r="P86" s="38"/>
    </row>
    <row r="87" ht="15.75" customHeight="1">
      <c r="A87" s="4"/>
      <c r="B87" s="32"/>
      <c r="C87" s="33"/>
      <c r="D87" s="34"/>
      <c r="E87" s="35"/>
      <c r="F87" s="47"/>
      <c r="G87" s="47"/>
      <c r="H87" s="47"/>
      <c r="I87" s="47"/>
      <c r="J87" s="47"/>
      <c r="K87" s="37"/>
      <c r="L87" s="38"/>
      <c r="M87" s="38"/>
      <c r="N87" s="38"/>
      <c r="O87" s="38"/>
      <c r="P87" s="38"/>
    </row>
    <row r="88" ht="15.75" customHeight="1">
      <c r="A88" s="4"/>
      <c r="B88" s="32"/>
      <c r="C88" s="33"/>
      <c r="D88" s="34"/>
      <c r="E88" s="35"/>
      <c r="F88" s="47"/>
      <c r="G88" s="47"/>
      <c r="H88" s="47"/>
      <c r="I88" s="47"/>
      <c r="J88" s="47"/>
      <c r="K88" s="37"/>
      <c r="L88" s="38"/>
      <c r="M88" s="38"/>
      <c r="N88" s="38"/>
      <c r="O88" s="38"/>
      <c r="P88" s="38"/>
    </row>
    <row r="89" ht="15.75" customHeight="1">
      <c r="A89" s="4"/>
      <c r="B89" s="32"/>
      <c r="C89" s="33"/>
      <c r="D89" s="34"/>
      <c r="E89" s="35"/>
      <c r="F89" s="47"/>
      <c r="G89" s="47"/>
      <c r="H89" s="47"/>
      <c r="I89" s="47"/>
      <c r="J89" s="47"/>
      <c r="K89" s="37"/>
      <c r="L89" s="38"/>
      <c r="M89" s="38"/>
      <c r="N89" s="38"/>
      <c r="O89" s="38"/>
      <c r="P89" s="38"/>
    </row>
    <row r="90" ht="15.75" customHeight="1">
      <c r="A90" s="4"/>
      <c r="B90" s="32"/>
      <c r="C90" s="33"/>
      <c r="D90" s="34"/>
      <c r="E90" s="35"/>
      <c r="F90" s="47"/>
      <c r="G90" s="47"/>
      <c r="H90" s="47"/>
      <c r="I90" s="47"/>
      <c r="J90" s="47"/>
      <c r="K90" s="37"/>
      <c r="L90" s="38"/>
      <c r="M90" s="38"/>
      <c r="N90" s="38"/>
      <c r="O90" s="38"/>
      <c r="P90" s="38"/>
    </row>
    <row r="91" ht="15.75" customHeight="1">
      <c r="A91" s="4"/>
      <c r="B91" s="32"/>
      <c r="C91" s="33"/>
      <c r="D91" s="34"/>
      <c r="E91" s="35"/>
      <c r="F91" s="47"/>
      <c r="G91" s="47"/>
      <c r="H91" s="47"/>
      <c r="I91" s="47"/>
      <c r="J91" s="47"/>
      <c r="K91" s="37"/>
      <c r="L91" s="38"/>
      <c r="M91" s="38"/>
      <c r="N91" s="38"/>
      <c r="O91" s="38"/>
      <c r="P91" s="38"/>
    </row>
    <row r="92" ht="15.75" customHeight="1">
      <c r="A92" s="4"/>
      <c r="B92" s="32"/>
      <c r="C92" s="33"/>
      <c r="D92" s="34"/>
      <c r="E92" s="35"/>
      <c r="F92" s="47"/>
      <c r="G92" s="47"/>
      <c r="H92" s="47"/>
      <c r="I92" s="47"/>
      <c r="J92" s="47"/>
      <c r="K92" s="37"/>
      <c r="L92" s="38"/>
      <c r="M92" s="38"/>
      <c r="N92" s="38"/>
      <c r="O92" s="38"/>
      <c r="P92" s="38"/>
    </row>
    <row r="93" ht="15.75" customHeight="1">
      <c r="A93" s="4"/>
      <c r="B93" s="32"/>
      <c r="C93" s="33"/>
      <c r="D93" s="34"/>
      <c r="E93" s="35"/>
      <c r="F93" s="47"/>
      <c r="G93" s="47"/>
      <c r="H93" s="47"/>
      <c r="I93" s="47"/>
      <c r="J93" s="47"/>
      <c r="K93" s="37"/>
      <c r="L93" s="38"/>
      <c r="M93" s="38"/>
      <c r="N93" s="38"/>
      <c r="O93" s="38"/>
      <c r="P93" s="38"/>
    </row>
    <row r="94" ht="15.75" customHeight="1">
      <c r="A94" s="4"/>
      <c r="B94" s="32"/>
      <c r="C94" s="33"/>
      <c r="D94" s="34"/>
      <c r="E94" s="35"/>
      <c r="F94" s="47"/>
      <c r="G94" s="47"/>
      <c r="H94" s="47"/>
      <c r="I94" s="47"/>
      <c r="J94" s="47"/>
      <c r="K94" s="37"/>
      <c r="L94" s="38"/>
      <c r="M94" s="38"/>
      <c r="N94" s="38"/>
      <c r="O94" s="38"/>
      <c r="P94" s="38"/>
    </row>
    <row r="95" ht="15.75" customHeight="1">
      <c r="A95" s="4"/>
      <c r="B95" s="32"/>
      <c r="C95" s="33"/>
      <c r="D95" s="34"/>
      <c r="E95" s="35"/>
      <c r="F95" s="47"/>
      <c r="G95" s="47"/>
      <c r="H95" s="47"/>
      <c r="I95" s="47"/>
      <c r="J95" s="47"/>
      <c r="K95" s="37"/>
      <c r="L95" s="38"/>
      <c r="M95" s="38"/>
      <c r="N95" s="38"/>
      <c r="O95" s="38"/>
      <c r="P95" s="38"/>
    </row>
    <row r="96" ht="15.75" customHeight="1">
      <c r="A96" s="4"/>
      <c r="B96" s="32"/>
      <c r="C96" s="33"/>
      <c r="D96" s="34"/>
      <c r="E96" s="35"/>
      <c r="F96" s="47"/>
      <c r="G96" s="47"/>
      <c r="H96" s="47"/>
      <c r="I96" s="47"/>
      <c r="J96" s="47"/>
      <c r="K96" s="37"/>
      <c r="L96" s="38"/>
      <c r="M96" s="38"/>
      <c r="N96" s="38"/>
      <c r="O96" s="38"/>
      <c r="P96" s="38"/>
    </row>
    <row r="97" ht="15.75" customHeight="1">
      <c r="A97" s="4"/>
      <c r="B97" s="32"/>
      <c r="C97" s="33"/>
      <c r="D97" s="34"/>
      <c r="E97" s="35"/>
      <c r="F97" s="47"/>
      <c r="G97" s="47"/>
      <c r="H97" s="47"/>
      <c r="I97" s="47"/>
      <c r="J97" s="47"/>
      <c r="K97" s="37"/>
      <c r="L97" s="38"/>
      <c r="M97" s="38"/>
      <c r="N97" s="38"/>
      <c r="O97" s="38"/>
      <c r="P97" s="38"/>
    </row>
    <row r="98" ht="15.75" customHeight="1">
      <c r="A98" s="4"/>
      <c r="B98" s="32"/>
      <c r="C98" s="33"/>
      <c r="D98" s="34"/>
      <c r="E98" s="35"/>
      <c r="F98" s="47"/>
      <c r="G98" s="47"/>
      <c r="H98" s="47"/>
      <c r="I98" s="47"/>
      <c r="J98" s="47"/>
      <c r="K98" s="37"/>
      <c r="L98" s="38"/>
      <c r="M98" s="38"/>
      <c r="N98" s="38"/>
      <c r="O98" s="38"/>
      <c r="P98" s="38"/>
    </row>
    <row r="99" ht="15.75" customHeight="1">
      <c r="A99" s="4"/>
      <c r="B99" s="32"/>
      <c r="C99" s="33"/>
      <c r="D99" s="34"/>
      <c r="E99" s="35"/>
      <c r="F99" s="47"/>
      <c r="G99" s="47"/>
      <c r="H99" s="47"/>
      <c r="I99" s="47"/>
      <c r="J99" s="47"/>
      <c r="K99" s="37"/>
      <c r="L99" s="38"/>
      <c r="M99" s="38"/>
      <c r="N99" s="38"/>
      <c r="O99" s="38"/>
      <c r="P99" s="38"/>
    </row>
    <row r="100" ht="15.75" customHeight="1">
      <c r="A100" s="4"/>
      <c r="B100" s="32"/>
      <c r="C100" s="33"/>
      <c r="D100" s="34"/>
      <c r="E100" s="35"/>
      <c r="F100" s="47"/>
      <c r="G100" s="47"/>
      <c r="H100" s="47"/>
      <c r="I100" s="47"/>
      <c r="J100" s="47"/>
      <c r="K100" s="37"/>
      <c r="L100" s="38"/>
      <c r="M100" s="38"/>
      <c r="N100" s="38"/>
      <c r="O100" s="38"/>
      <c r="P100" s="38"/>
    </row>
    <row r="101" ht="15.75" customHeight="1">
      <c r="A101" s="4"/>
      <c r="B101" s="32"/>
      <c r="C101" s="33"/>
      <c r="D101" s="34"/>
      <c r="E101" s="35"/>
      <c r="F101" s="47"/>
      <c r="G101" s="47"/>
      <c r="H101" s="47"/>
      <c r="I101" s="47"/>
      <c r="J101" s="47"/>
      <c r="K101" s="37"/>
      <c r="L101" s="38"/>
      <c r="M101" s="38"/>
      <c r="N101" s="38"/>
      <c r="O101" s="38"/>
      <c r="P101" s="38"/>
    </row>
    <row r="102" ht="15.75" customHeight="1">
      <c r="A102" s="4"/>
      <c r="B102" s="32"/>
      <c r="C102" s="33"/>
      <c r="D102" s="34"/>
      <c r="E102" s="35"/>
      <c r="F102" s="47"/>
      <c r="G102" s="47"/>
      <c r="H102" s="47"/>
      <c r="I102" s="47"/>
      <c r="J102" s="47"/>
      <c r="K102" s="37"/>
      <c r="L102" s="38"/>
      <c r="M102" s="38"/>
      <c r="N102" s="38"/>
      <c r="O102" s="38"/>
      <c r="P102" s="38"/>
    </row>
    <row r="103" ht="15.75" customHeight="1">
      <c r="A103" s="4"/>
      <c r="B103" s="32"/>
      <c r="C103" s="33"/>
      <c r="D103" s="34"/>
      <c r="E103" s="35"/>
      <c r="F103" s="47"/>
      <c r="G103" s="47"/>
      <c r="H103" s="47"/>
      <c r="I103" s="47"/>
      <c r="J103" s="47"/>
      <c r="K103" s="37"/>
      <c r="L103" s="38"/>
      <c r="M103" s="38"/>
      <c r="N103" s="38"/>
      <c r="O103" s="38"/>
      <c r="P103" s="38"/>
    </row>
    <row r="104" ht="15.75" customHeight="1">
      <c r="A104" s="4"/>
      <c r="B104" s="32"/>
      <c r="C104" s="33"/>
      <c r="D104" s="34"/>
      <c r="E104" s="35"/>
      <c r="F104" s="47"/>
      <c r="G104" s="47"/>
      <c r="H104" s="47"/>
      <c r="I104" s="47"/>
      <c r="J104" s="47"/>
      <c r="K104" s="37"/>
      <c r="L104" s="38"/>
      <c r="M104" s="38"/>
      <c r="N104" s="38"/>
      <c r="O104" s="38"/>
      <c r="P104" s="38"/>
    </row>
    <row r="105" ht="15.75" customHeight="1">
      <c r="A105" s="4"/>
      <c r="B105" s="32"/>
      <c r="C105" s="33"/>
      <c r="D105" s="34"/>
      <c r="E105" s="35"/>
      <c r="F105" s="47"/>
      <c r="G105" s="47"/>
      <c r="H105" s="47"/>
      <c r="I105" s="47"/>
      <c r="J105" s="47"/>
      <c r="K105" s="37"/>
      <c r="L105" s="38"/>
      <c r="M105" s="38"/>
      <c r="N105" s="38"/>
      <c r="O105" s="38"/>
      <c r="P105" s="38"/>
    </row>
    <row r="106" ht="15.75" customHeight="1">
      <c r="A106" s="4"/>
      <c r="B106" s="32"/>
      <c r="C106" s="33"/>
      <c r="D106" s="34"/>
      <c r="E106" s="35"/>
      <c r="F106" s="47"/>
      <c r="G106" s="47"/>
      <c r="H106" s="47"/>
      <c r="I106" s="47"/>
      <c r="J106" s="47"/>
      <c r="K106" s="37"/>
      <c r="L106" s="38"/>
      <c r="M106" s="38"/>
      <c r="N106" s="38"/>
      <c r="O106" s="38"/>
      <c r="P106" s="38"/>
    </row>
    <row r="107" ht="15.75" customHeight="1">
      <c r="A107" s="4"/>
      <c r="B107" s="32"/>
      <c r="C107" s="33"/>
      <c r="D107" s="34"/>
      <c r="E107" s="35"/>
      <c r="F107" s="47"/>
      <c r="G107" s="47"/>
      <c r="H107" s="47"/>
      <c r="I107" s="47"/>
      <c r="J107" s="47"/>
      <c r="K107" s="37"/>
      <c r="L107" s="38"/>
      <c r="M107" s="38"/>
      <c r="N107" s="38"/>
      <c r="O107" s="38"/>
      <c r="P107" s="38"/>
    </row>
    <row r="108" ht="15.75" customHeight="1">
      <c r="A108" s="4"/>
      <c r="B108" s="32"/>
      <c r="C108" s="33"/>
      <c r="D108" s="34"/>
      <c r="E108" s="35"/>
      <c r="F108" s="47"/>
      <c r="G108" s="47"/>
      <c r="H108" s="47"/>
      <c r="I108" s="47"/>
      <c r="J108" s="47"/>
      <c r="K108" s="37"/>
      <c r="L108" s="38"/>
      <c r="M108" s="38"/>
      <c r="N108" s="38"/>
      <c r="O108" s="38"/>
      <c r="P108" s="38"/>
    </row>
    <row r="109" ht="15.75" customHeight="1">
      <c r="A109" s="4"/>
      <c r="B109" s="32"/>
      <c r="C109" s="33"/>
      <c r="D109" s="34"/>
      <c r="E109" s="35"/>
      <c r="F109" s="47"/>
      <c r="G109" s="47"/>
      <c r="H109" s="47"/>
      <c r="I109" s="47"/>
      <c r="J109" s="47"/>
      <c r="K109" s="37"/>
      <c r="L109" s="38"/>
      <c r="M109" s="38"/>
      <c r="N109" s="38"/>
      <c r="O109" s="38"/>
      <c r="P109" s="38"/>
    </row>
    <row r="110" ht="15.75" customHeight="1">
      <c r="A110" s="4"/>
      <c r="B110" s="32"/>
      <c r="C110" s="33"/>
      <c r="D110" s="34"/>
      <c r="E110" s="35"/>
      <c r="F110" s="47"/>
      <c r="G110" s="47"/>
      <c r="H110" s="47"/>
      <c r="I110" s="47"/>
      <c r="J110" s="47"/>
      <c r="K110" s="37"/>
      <c r="L110" s="38"/>
      <c r="M110" s="38"/>
      <c r="N110" s="38"/>
      <c r="O110" s="38"/>
      <c r="P110" s="38"/>
    </row>
    <row r="111" ht="15.75" customHeight="1">
      <c r="A111" s="4"/>
      <c r="B111" s="32"/>
      <c r="C111" s="33"/>
      <c r="D111" s="34"/>
      <c r="E111" s="35"/>
      <c r="F111" s="47"/>
      <c r="G111" s="47"/>
      <c r="H111" s="47"/>
      <c r="I111" s="47"/>
      <c r="J111" s="47"/>
      <c r="K111" s="37"/>
      <c r="L111" s="38"/>
      <c r="M111" s="38"/>
      <c r="N111" s="38"/>
      <c r="O111" s="38"/>
      <c r="P111" s="38"/>
    </row>
    <row r="112" ht="15.75" customHeight="1">
      <c r="A112" s="4"/>
      <c r="B112" s="32"/>
      <c r="C112" s="33"/>
      <c r="D112" s="34"/>
      <c r="E112" s="35"/>
      <c r="F112" s="47"/>
      <c r="G112" s="47"/>
      <c r="H112" s="47"/>
      <c r="I112" s="47"/>
      <c r="J112" s="47"/>
      <c r="K112" s="37"/>
      <c r="L112" s="38"/>
      <c r="M112" s="38"/>
      <c r="N112" s="38"/>
      <c r="O112" s="38"/>
      <c r="P112" s="38"/>
    </row>
    <row r="113" ht="15.75" customHeight="1">
      <c r="A113" s="4"/>
      <c r="B113" s="32"/>
      <c r="C113" s="33"/>
      <c r="D113" s="34"/>
      <c r="E113" s="35"/>
      <c r="F113" s="47"/>
      <c r="G113" s="47"/>
      <c r="H113" s="47"/>
      <c r="I113" s="47"/>
      <c r="J113" s="47"/>
      <c r="K113" s="37"/>
      <c r="L113" s="38"/>
      <c r="M113" s="38"/>
      <c r="N113" s="38"/>
      <c r="O113" s="38"/>
      <c r="P113" s="38"/>
    </row>
    <row r="114" ht="15.75" customHeight="1">
      <c r="A114" s="4"/>
      <c r="B114" s="32"/>
      <c r="C114" s="33"/>
      <c r="D114" s="34"/>
      <c r="E114" s="35"/>
      <c r="F114" s="47"/>
      <c r="G114" s="47"/>
      <c r="H114" s="47"/>
      <c r="I114" s="47"/>
      <c r="J114" s="47"/>
      <c r="K114" s="37"/>
      <c r="L114" s="38"/>
      <c r="M114" s="38"/>
      <c r="N114" s="38"/>
      <c r="O114" s="38"/>
      <c r="P114" s="38"/>
    </row>
    <row r="115" ht="15.75" customHeight="1">
      <c r="A115" s="4"/>
      <c r="B115" s="32"/>
      <c r="C115" s="33"/>
      <c r="D115" s="34"/>
      <c r="E115" s="35"/>
      <c r="F115" s="47"/>
      <c r="G115" s="47"/>
      <c r="H115" s="47"/>
      <c r="I115" s="47"/>
      <c r="J115" s="47"/>
      <c r="K115" s="37"/>
      <c r="L115" s="38"/>
      <c r="M115" s="38"/>
      <c r="N115" s="38"/>
      <c r="O115" s="38"/>
      <c r="P115" s="38"/>
    </row>
    <row r="116" ht="15.75" customHeight="1">
      <c r="A116" s="4"/>
      <c r="B116" s="32"/>
      <c r="C116" s="33"/>
      <c r="D116" s="34"/>
      <c r="E116" s="35"/>
      <c r="F116" s="47"/>
      <c r="G116" s="47"/>
      <c r="H116" s="47"/>
      <c r="I116" s="47"/>
      <c r="J116" s="47"/>
      <c r="K116" s="37"/>
      <c r="L116" s="38"/>
      <c r="M116" s="38"/>
      <c r="N116" s="38"/>
      <c r="O116" s="38"/>
      <c r="P116" s="38"/>
    </row>
    <row r="117" ht="15.75" customHeight="1">
      <c r="A117" s="4"/>
      <c r="B117" s="32"/>
      <c r="C117" s="33"/>
      <c r="D117" s="34"/>
      <c r="E117" s="35"/>
      <c r="F117" s="47"/>
      <c r="G117" s="47"/>
      <c r="H117" s="47"/>
      <c r="I117" s="47"/>
      <c r="J117" s="47"/>
      <c r="K117" s="37"/>
      <c r="L117" s="38"/>
      <c r="M117" s="38"/>
      <c r="N117" s="38"/>
      <c r="O117" s="38"/>
      <c r="P117" s="38"/>
    </row>
    <row r="118" ht="15.75" customHeight="1">
      <c r="A118" s="4"/>
      <c r="B118" s="32"/>
      <c r="C118" s="33"/>
      <c r="D118" s="34"/>
      <c r="E118" s="35"/>
      <c r="F118" s="47"/>
      <c r="G118" s="47"/>
      <c r="H118" s="47"/>
      <c r="I118" s="47"/>
      <c r="J118" s="47"/>
      <c r="K118" s="37"/>
      <c r="L118" s="38"/>
      <c r="M118" s="38"/>
      <c r="N118" s="38"/>
      <c r="O118" s="38"/>
      <c r="P118" s="38"/>
    </row>
    <row r="119" ht="15.75" customHeight="1">
      <c r="A119" s="4"/>
      <c r="B119" s="32"/>
      <c r="C119" s="33"/>
      <c r="D119" s="34"/>
      <c r="E119" s="35"/>
      <c r="F119" s="47"/>
      <c r="G119" s="47"/>
      <c r="H119" s="47"/>
      <c r="I119" s="47"/>
      <c r="J119" s="47"/>
      <c r="K119" s="37"/>
      <c r="L119" s="38"/>
      <c r="M119" s="38"/>
      <c r="N119" s="38"/>
      <c r="O119" s="38"/>
      <c r="P119" s="38"/>
    </row>
    <row r="120" ht="15.75" customHeight="1">
      <c r="A120" s="4"/>
      <c r="B120" s="32"/>
      <c r="C120" s="33"/>
      <c r="D120" s="34"/>
      <c r="E120" s="35"/>
      <c r="F120" s="47"/>
      <c r="G120" s="47"/>
      <c r="H120" s="47"/>
      <c r="I120" s="47"/>
      <c r="J120" s="47"/>
      <c r="K120" s="37"/>
      <c r="L120" s="38"/>
      <c r="M120" s="38"/>
      <c r="N120" s="38"/>
      <c r="O120" s="38"/>
      <c r="P120" s="38"/>
    </row>
    <row r="121" ht="15.75" customHeight="1">
      <c r="A121" s="4"/>
      <c r="B121" s="32"/>
      <c r="C121" s="33"/>
      <c r="D121" s="34"/>
      <c r="E121" s="35"/>
      <c r="F121" s="47"/>
      <c r="G121" s="47"/>
      <c r="H121" s="47"/>
      <c r="I121" s="47"/>
      <c r="J121" s="47"/>
      <c r="K121" s="37"/>
      <c r="L121" s="38"/>
      <c r="M121" s="38"/>
      <c r="N121" s="38"/>
      <c r="O121" s="38"/>
      <c r="P121" s="38"/>
    </row>
    <row r="122" ht="15.75" customHeight="1">
      <c r="A122" s="4"/>
      <c r="B122" s="32"/>
      <c r="C122" s="33"/>
      <c r="D122" s="34"/>
      <c r="E122" s="35"/>
      <c r="F122" s="47"/>
      <c r="G122" s="47"/>
      <c r="H122" s="47"/>
      <c r="I122" s="47"/>
      <c r="J122" s="47"/>
      <c r="K122" s="37"/>
      <c r="L122" s="38"/>
      <c r="M122" s="38"/>
      <c r="N122" s="38"/>
      <c r="O122" s="38"/>
      <c r="P122" s="38"/>
    </row>
    <row r="123" ht="15.75" customHeight="1">
      <c r="A123" s="4"/>
      <c r="B123" s="32"/>
      <c r="C123" s="33"/>
      <c r="D123" s="34"/>
      <c r="E123" s="35"/>
      <c r="F123" s="47"/>
      <c r="G123" s="47"/>
      <c r="H123" s="47"/>
      <c r="I123" s="47"/>
      <c r="J123" s="47"/>
      <c r="K123" s="37"/>
      <c r="L123" s="38"/>
      <c r="M123" s="38"/>
      <c r="N123" s="38"/>
      <c r="O123" s="38"/>
      <c r="P123" s="38"/>
    </row>
    <row r="124" ht="15.75" customHeight="1">
      <c r="A124" s="4"/>
      <c r="B124" s="32"/>
      <c r="C124" s="33"/>
      <c r="D124" s="34"/>
      <c r="E124" s="35"/>
      <c r="F124" s="47"/>
      <c r="G124" s="47"/>
      <c r="H124" s="47"/>
      <c r="I124" s="47"/>
      <c r="J124" s="47"/>
      <c r="K124" s="37"/>
      <c r="L124" s="38"/>
      <c r="M124" s="38"/>
      <c r="N124" s="38"/>
      <c r="O124" s="38"/>
      <c r="P124" s="38"/>
    </row>
    <row r="125" ht="15.75" customHeight="1">
      <c r="A125" s="4"/>
      <c r="B125" s="32"/>
      <c r="C125" s="33"/>
      <c r="D125" s="34"/>
      <c r="E125" s="35"/>
      <c r="F125" s="47"/>
      <c r="G125" s="47"/>
      <c r="H125" s="47"/>
      <c r="I125" s="47"/>
      <c r="J125" s="47"/>
      <c r="K125" s="37"/>
      <c r="L125" s="38"/>
      <c r="M125" s="38"/>
      <c r="N125" s="38"/>
      <c r="O125" s="38"/>
      <c r="P125" s="38"/>
    </row>
    <row r="126" ht="15.75" customHeight="1">
      <c r="A126" s="4"/>
      <c r="B126" s="32"/>
      <c r="C126" s="33"/>
      <c r="D126" s="34"/>
      <c r="E126" s="35"/>
      <c r="F126" s="47"/>
      <c r="G126" s="47"/>
      <c r="H126" s="47"/>
      <c r="I126" s="47"/>
      <c r="J126" s="47"/>
      <c r="K126" s="37"/>
      <c r="L126" s="38"/>
      <c r="M126" s="38"/>
      <c r="N126" s="38"/>
      <c r="O126" s="38"/>
      <c r="P126" s="38"/>
    </row>
    <row r="127" ht="15.75" customHeight="1">
      <c r="A127" s="4"/>
      <c r="B127" s="32"/>
      <c r="C127" s="33"/>
      <c r="D127" s="34"/>
      <c r="E127" s="35"/>
      <c r="F127" s="47"/>
      <c r="G127" s="47"/>
      <c r="H127" s="47"/>
      <c r="I127" s="47"/>
      <c r="J127" s="47"/>
      <c r="K127" s="37"/>
      <c r="L127" s="38"/>
      <c r="M127" s="38"/>
      <c r="N127" s="38"/>
      <c r="O127" s="38"/>
      <c r="P127" s="38"/>
    </row>
    <row r="128" ht="15.75" customHeight="1">
      <c r="A128" s="4"/>
      <c r="B128" s="32"/>
      <c r="C128" s="33"/>
      <c r="D128" s="34"/>
      <c r="E128" s="35"/>
      <c r="F128" s="47"/>
      <c r="G128" s="47"/>
      <c r="H128" s="47"/>
      <c r="I128" s="47"/>
      <c r="J128" s="47"/>
      <c r="K128" s="37"/>
      <c r="L128" s="38"/>
      <c r="M128" s="38"/>
      <c r="N128" s="38"/>
      <c r="O128" s="38"/>
      <c r="P128" s="38"/>
    </row>
    <row r="129" ht="15.75" customHeight="1">
      <c r="A129" s="4"/>
      <c r="B129" s="32"/>
      <c r="C129" s="33"/>
      <c r="D129" s="34"/>
      <c r="E129" s="35"/>
      <c r="F129" s="47"/>
      <c r="G129" s="47"/>
      <c r="H129" s="47"/>
      <c r="I129" s="47"/>
      <c r="J129" s="47"/>
      <c r="K129" s="37"/>
      <c r="L129" s="38"/>
      <c r="M129" s="38"/>
      <c r="N129" s="38"/>
      <c r="O129" s="38"/>
      <c r="P129" s="38"/>
    </row>
    <row r="130" ht="15.75" customHeight="1">
      <c r="A130" s="4"/>
      <c r="B130" s="50"/>
      <c r="C130" s="49"/>
      <c r="D130" s="51"/>
      <c r="E130" s="52"/>
      <c r="F130" s="47"/>
      <c r="G130" s="47"/>
      <c r="H130" s="47"/>
      <c r="I130" s="47"/>
      <c r="J130" s="47"/>
      <c r="K130" s="53"/>
      <c r="L130" s="54"/>
      <c r="M130" s="54"/>
      <c r="N130" s="54"/>
      <c r="O130" s="54"/>
      <c r="P130" s="54"/>
    </row>
    <row r="131" ht="15.75" customHeight="1">
      <c r="A131" s="38"/>
      <c r="B131" s="55"/>
      <c r="C131" s="56"/>
      <c r="D131" s="57"/>
      <c r="E131" s="32"/>
      <c r="F131" s="58"/>
      <c r="G131" s="58"/>
      <c r="H131" s="58"/>
      <c r="I131" s="58"/>
      <c r="J131" s="58"/>
      <c r="K131" s="38"/>
      <c r="L131" s="38"/>
      <c r="M131" s="38"/>
      <c r="N131" s="38"/>
      <c r="O131" s="38"/>
      <c r="P131" s="38"/>
    </row>
    <row r="132" ht="15.75" customHeight="1">
      <c r="A132" s="38"/>
      <c r="B132" s="55"/>
      <c r="C132" s="56"/>
      <c r="D132" s="57"/>
      <c r="E132" s="32"/>
      <c r="F132" s="59"/>
      <c r="G132" s="59"/>
      <c r="H132" s="59"/>
      <c r="I132" s="59"/>
      <c r="J132" s="59"/>
      <c r="K132" s="38"/>
      <c r="L132" s="38"/>
      <c r="M132" s="38"/>
      <c r="N132" s="38"/>
      <c r="O132" s="38"/>
      <c r="P132" s="38"/>
    </row>
    <row r="133" ht="15.75" customHeight="1">
      <c r="A133" s="38"/>
      <c r="B133" s="55"/>
      <c r="C133" s="56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</row>
    <row r="134" ht="15.75" customHeight="1">
      <c r="A134" s="38"/>
      <c r="B134" s="55"/>
      <c r="C134" s="56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</row>
    <row r="135" ht="15.75" customHeight="1">
      <c r="A135" s="38"/>
      <c r="B135" s="55"/>
      <c r="C135" s="56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</row>
    <row r="136" ht="15.75" customHeight="1">
      <c r="A136" s="38"/>
      <c r="B136" s="55"/>
      <c r="C136" s="56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</row>
    <row r="137" ht="15.75" customHeight="1">
      <c r="A137" s="38"/>
      <c r="B137" s="55"/>
      <c r="C137" s="56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</row>
    <row r="138" ht="15.75" customHeight="1">
      <c r="A138" s="38"/>
      <c r="B138" s="55"/>
      <c r="C138" s="56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</row>
    <row r="139" ht="15.75" customHeight="1">
      <c r="A139" s="38"/>
      <c r="B139" s="55"/>
      <c r="C139" s="56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</row>
    <row r="140" ht="15.75" customHeight="1">
      <c r="A140" s="38"/>
      <c r="B140" s="55"/>
      <c r="C140" s="56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</row>
    <row r="141" ht="15.75" customHeight="1">
      <c r="A141" s="38"/>
      <c r="B141" s="55"/>
      <c r="C141" s="56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</row>
    <row r="142" ht="15.75" customHeight="1">
      <c r="A142" s="38"/>
      <c r="B142" s="55"/>
      <c r="C142" s="56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</row>
    <row r="143" ht="15.75" customHeight="1">
      <c r="A143" s="38"/>
      <c r="B143" s="55"/>
      <c r="C143" s="56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</row>
    <row r="144" ht="15.75" customHeight="1">
      <c r="A144" s="38"/>
      <c r="B144" s="55"/>
      <c r="C144" s="56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</row>
    <row r="145" ht="15.75" customHeight="1">
      <c r="A145" s="38"/>
      <c r="B145" s="55"/>
      <c r="C145" s="56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</row>
    <row r="146" ht="15.75" customHeight="1">
      <c r="A146" s="38"/>
      <c r="B146" s="55"/>
      <c r="C146" s="56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</row>
    <row r="147" ht="15.75" customHeight="1">
      <c r="A147" s="38"/>
      <c r="B147" s="55"/>
      <c r="C147" s="56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</row>
    <row r="148" ht="15.75" customHeight="1">
      <c r="A148" s="38"/>
      <c r="B148" s="55"/>
      <c r="C148" s="56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</row>
    <row r="149" ht="15.75" customHeight="1">
      <c r="A149" s="38"/>
      <c r="B149" s="55"/>
      <c r="C149" s="56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</row>
    <row r="150" ht="15.75" customHeight="1">
      <c r="A150" s="38"/>
      <c r="B150" s="55"/>
      <c r="C150" s="56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</row>
    <row r="151" ht="15.75" customHeight="1">
      <c r="A151" s="38"/>
      <c r="B151" s="55"/>
      <c r="C151" s="56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</row>
    <row r="152" ht="15.75" customHeight="1">
      <c r="A152" s="38"/>
      <c r="B152" s="55"/>
      <c r="C152" s="56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</row>
    <row r="153" ht="15.75" customHeight="1">
      <c r="A153" s="38"/>
      <c r="B153" s="55"/>
      <c r="C153" s="56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</row>
    <row r="154" ht="15.75" customHeight="1">
      <c r="A154" s="38"/>
      <c r="B154" s="55"/>
      <c r="C154" s="56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</row>
    <row r="155" ht="15.75" customHeight="1">
      <c r="A155" s="38"/>
      <c r="B155" s="55"/>
      <c r="C155" s="56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</row>
    <row r="156" ht="15.75" customHeight="1">
      <c r="A156" s="38"/>
      <c r="B156" s="55"/>
      <c r="C156" s="56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</row>
    <row r="157" ht="15.75" customHeight="1">
      <c r="A157" s="38"/>
      <c r="B157" s="55"/>
      <c r="C157" s="56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</row>
    <row r="158" ht="15.75" customHeight="1">
      <c r="A158" s="38"/>
      <c r="B158" s="55"/>
      <c r="C158" s="56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</row>
    <row r="159" ht="15.75" customHeight="1">
      <c r="A159" s="38"/>
      <c r="B159" s="55"/>
      <c r="C159" s="56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</row>
    <row r="160" ht="15.75" customHeight="1">
      <c r="A160" s="38"/>
      <c r="B160" s="55"/>
      <c r="C160" s="56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</row>
    <row r="161" ht="15.75" customHeight="1">
      <c r="A161" s="38"/>
      <c r="B161" s="55"/>
      <c r="C161" s="56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</row>
    <row r="162" ht="15.75" customHeight="1">
      <c r="A162" s="38"/>
      <c r="B162" s="55"/>
      <c r="C162" s="56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</row>
    <row r="163" ht="15.75" customHeight="1">
      <c r="A163" s="38"/>
      <c r="B163" s="55"/>
      <c r="C163" s="56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</row>
    <row r="164" ht="15.75" customHeight="1">
      <c r="A164" s="38"/>
      <c r="B164" s="55"/>
      <c r="C164" s="56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</row>
    <row r="165" ht="15.75" customHeight="1">
      <c r="A165" s="38"/>
      <c r="B165" s="55"/>
      <c r="C165" s="56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</row>
    <row r="166" ht="15.75" customHeight="1">
      <c r="A166" s="38"/>
      <c r="B166" s="55"/>
      <c r="C166" s="56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</row>
    <row r="167" ht="15.75" customHeight="1">
      <c r="A167" s="38"/>
      <c r="B167" s="55"/>
      <c r="C167" s="56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</row>
    <row r="168" ht="15.75" customHeight="1">
      <c r="A168" s="38"/>
      <c r="B168" s="55"/>
      <c r="C168" s="56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</row>
    <row r="169" ht="15.75" customHeight="1">
      <c r="A169" s="38"/>
      <c r="B169" s="55"/>
      <c r="C169" s="56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</row>
    <row r="170" ht="15.75" customHeight="1">
      <c r="A170" s="38"/>
      <c r="B170" s="55"/>
      <c r="C170" s="5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</row>
    <row r="171" ht="15.75" customHeight="1">
      <c r="A171" s="38"/>
      <c r="B171" s="55"/>
      <c r="C171" s="56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</row>
    <row r="172" ht="15.75" customHeight="1">
      <c r="A172" s="38"/>
      <c r="B172" s="55"/>
      <c r="C172" s="56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</row>
    <row r="173" ht="15.75" customHeight="1">
      <c r="A173" s="38"/>
      <c r="B173" s="55"/>
      <c r="C173" s="56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</row>
    <row r="174" ht="15.75" customHeight="1">
      <c r="A174" s="38"/>
      <c r="B174" s="55"/>
      <c r="C174" s="5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</row>
    <row r="175" ht="15.75" customHeight="1">
      <c r="A175" s="38"/>
      <c r="B175" s="55"/>
      <c r="C175" s="56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</row>
    <row r="176" ht="15.75" customHeight="1">
      <c r="A176" s="38"/>
      <c r="B176" s="55"/>
      <c r="C176" s="56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</row>
    <row r="177" ht="15.75" customHeight="1">
      <c r="A177" s="38"/>
      <c r="B177" s="55"/>
      <c r="C177" s="56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</row>
    <row r="178" ht="15.75" customHeight="1">
      <c r="A178" s="38"/>
      <c r="B178" s="55"/>
      <c r="C178" s="5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</row>
    <row r="179" ht="15.75" customHeight="1">
      <c r="A179" s="38"/>
      <c r="B179" s="55"/>
      <c r="C179" s="56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</row>
    <row r="180" ht="15.75" customHeight="1">
      <c r="A180" s="38"/>
      <c r="B180" s="55"/>
      <c r="C180" s="56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</row>
    <row r="181" ht="15.75" customHeight="1">
      <c r="A181" s="38"/>
      <c r="B181" s="55"/>
      <c r="C181" s="56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</row>
    <row r="182" ht="15.75" customHeight="1">
      <c r="A182" s="38"/>
      <c r="B182" s="55"/>
      <c r="C182" s="5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</row>
    <row r="183" ht="15.75" customHeight="1">
      <c r="A183" s="38"/>
      <c r="B183" s="55"/>
      <c r="C183" s="56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</row>
    <row r="184" ht="15.75" customHeight="1">
      <c r="A184" s="38"/>
      <c r="B184" s="55"/>
      <c r="C184" s="56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</row>
    <row r="185" ht="15.75" customHeight="1">
      <c r="A185" s="38"/>
      <c r="B185" s="55"/>
      <c r="C185" s="56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</row>
    <row r="186" ht="15.75" customHeight="1">
      <c r="A186" s="38"/>
      <c r="B186" s="55"/>
      <c r="C186" s="5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</row>
    <row r="187" ht="15.75" customHeight="1">
      <c r="A187" s="38"/>
      <c r="B187" s="55"/>
      <c r="C187" s="56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</row>
    <row r="188" ht="15.75" customHeight="1">
      <c r="A188" s="38"/>
      <c r="B188" s="55"/>
      <c r="C188" s="56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</row>
    <row r="189" ht="15.75" customHeight="1">
      <c r="A189" s="38"/>
      <c r="B189" s="55"/>
      <c r="C189" s="56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</row>
    <row r="190" ht="15.75" customHeight="1">
      <c r="A190" s="38"/>
      <c r="B190" s="55"/>
      <c r="C190" s="5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</row>
    <row r="191" ht="15.75" customHeight="1">
      <c r="A191" s="38"/>
      <c r="B191" s="55"/>
      <c r="C191" s="56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</row>
    <row r="192" ht="15.75" customHeight="1">
      <c r="A192" s="38"/>
      <c r="B192" s="55"/>
      <c r="C192" s="56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</row>
    <row r="193" ht="15.75" customHeight="1">
      <c r="A193" s="38"/>
      <c r="B193" s="55"/>
      <c r="C193" s="56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</row>
    <row r="194" ht="15.75" customHeight="1">
      <c r="A194" s="38"/>
      <c r="B194" s="55"/>
      <c r="C194" s="5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</row>
    <row r="195" ht="15.75" customHeight="1">
      <c r="A195" s="38"/>
      <c r="B195" s="55"/>
      <c r="C195" s="56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</row>
    <row r="196" ht="15.75" customHeight="1">
      <c r="A196" s="38"/>
      <c r="B196" s="55"/>
      <c r="C196" s="56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</row>
    <row r="197" ht="15.75" customHeight="1">
      <c r="A197" s="38"/>
      <c r="B197" s="55"/>
      <c r="C197" s="56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</row>
    <row r="198" ht="15.75" customHeight="1">
      <c r="A198" s="38"/>
      <c r="B198" s="55"/>
      <c r="C198" s="5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</row>
    <row r="199" ht="15.75" customHeight="1">
      <c r="A199" s="38"/>
      <c r="B199" s="55"/>
      <c r="C199" s="56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</row>
    <row r="200" ht="15.75" customHeight="1">
      <c r="A200" s="38"/>
      <c r="B200" s="55"/>
      <c r="C200" s="56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</row>
    <row r="201" ht="15.75" customHeight="1">
      <c r="A201" s="38"/>
      <c r="B201" s="55"/>
      <c r="C201" s="56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</row>
    <row r="202" ht="15.75" customHeight="1">
      <c r="A202" s="38"/>
      <c r="B202" s="55"/>
      <c r="C202" s="5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</row>
    <row r="203" ht="15.75" customHeight="1">
      <c r="A203" s="38"/>
      <c r="B203" s="55"/>
      <c r="C203" s="56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</row>
    <row r="204" ht="15.75" customHeight="1">
      <c r="A204" s="38"/>
      <c r="B204" s="55"/>
      <c r="C204" s="56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</row>
    <row r="205" ht="15.75" customHeight="1">
      <c r="A205" s="38"/>
      <c r="B205" s="55"/>
      <c r="C205" s="56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</row>
    <row r="206" ht="15.75" customHeight="1">
      <c r="A206" s="38"/>
      <c r="B206" s="55"/>
      <c r="C206" s="5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</row>
    <row r="207" ht="15.75" customHeight="1">
      <c r="A207" s="38"/>
      <c r="B207" s="55"/>
      <c r="C207" s="56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</row>
    <row r="208" ht="15.75" customHeight="1">
      <c r="A208" s="38"/>
      <c r="B208" s="55"/>
      <c r="C208" s="56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</row>
    <row r="209" ht="15.75" customHeight="1">
      <c r="A209" s="38"/>
      <c r="B209" s="55"/>
      <c r="C209" s="56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</row>
    <row r="210" ht="15.75" customHeight="1">
      <c r="A210" s="38"/>
      <c r="B210" s="55"/>
      <c r="C210" s="5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</row>
    <row r="211" ht="15.75" customHeight="1">
      <c r="A211" s="38"/>
      <c r="B211" s="55"/>
      <c r="C211" s="56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</row>
    <row r="212" ht="15.75" customHeight="1">
      <c r="A212" s="38"/>
      <c r="B212" s="55"/>
      <c r="C212" s="56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</row>
    <row r="213" ht="15.75" customHeight="1">
      <c r="A213" s="38"/>
      <c r="B213" s="55"/>
      <c r="C213" s="56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</row>
    <row r="214" ht="15.75" customHeight="1">
      <c r="A214" s="38"/>
      <c r="B214" s="55"/>
      <c r="C214" s="5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</row>
    <row r="215" ht="15.75" customHeight="1">
      <c r="A215" s="38"/>
      <c r="B215" s="55"/>
      <c r="C215" s="56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</row>
    <row r="216" ht="15.75" customHeight="1">
      <c r="A216" s="38"/>
      <c r="B216" s="55"/>
      <c r="C216" s="56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</row>
    <row r="217" ht="15.75" customHeight="1">
      <c r="A217" s="38"/>
      <c r="B217" s="55"/>
      <c r="C217" s="56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</row>
    <row r="218" ht="15.75" customHeight="1">
      <c r="A218" s="38"/>
      <c r="B218" s="55"/>
      <c r="C218" s="5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</row>
    <row r="219" ht="15.75" customHeight="1">
      <c r="A219" s="38"/>
      <c r="B219" s="55"/>
      <c r="C219" s="56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</row>
    <row r="220" ht="15.75" customHeight="1">
      <c r="A220" s="38"/>
      <c r="B220" s="55"/>
      <c r="C220" s="56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</row>
    <row r="221" ht="15.75" customHeight="1">
      <c r="A221" s="38"/>
      <c r="B221" s="55"/>
      <c r="C221" s="56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</row>
    <row r="222" ht="15.75" customHeight="1">
      <c r="A222" s="38"/>
      <c r="B222" s="55"/>
      <c r="C222" s="5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</row>
    <row r="223" ht="15.75" customHeight="1">
      <c r="A223" s="38"/>
      <c r="B223" s="55"/>
      <c r="C223" s="56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</row>
    <row r="224" ht="15.75" customHeight="1">
      <c r="A224" s="38"/>
      <c r="B224" s="55"/>
      <c r="C224" s="56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</row>
    <row r="225" ht="15.75" customHeight="1">
      <c r="A225" s="38"/>
      <c r="B225" s="55"/>
      <c r="C225" s="56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</row>
    <row r="226" ht="15.75" customHeight="1">
      <c r="A226" s="38"/>
      <c r="B226" s="55"/>
      <c r="C226" s="5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</row>
    <row r="227" ht="15.75" customHeight="1">
      <c r="A227" s="38"/>
      <c r="B227" s="55"/>
      <c r="C227" s="56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</row>
    <row r="228" ht="15.75" customHeight="1">
      <c r="A228" s="38"/>
      <c r="B228" s="55"/>
      <c r="C228" s="56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</row>
    <row r="229" ht="15.75" customHeight="1">
      <c r="A229" s="38"/>
      <c r="B229" s="55"/>
      <c r="C229" s="56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</row>
    <row r="230" ht="15.75" customHeight="1">
      <c r="A230" s="38"/>
      <c r="B230" s="55"/>
      <c r="C230" s="5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</row>
    <row r="231" ht="15.75" customHeight="1">
      <c r="A231" s="38"/>
      <c r="B231" s="55"/>
      <c r="C231" s="56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</row>
    <row r="232" ht="15.75" customHeight="1">
      <c r="A232" s="38"/>
      <c r="B232" s="38"/>
      <c r="C232" s="56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</row>
    <row r="233" ht="15.75" customHeight="1">
      <c r="A233" s="38"/>
      <c r="B233" s="38"/>
      <c r="C233" s="56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</row>
    <row r="234" ht="15.75" customHeight="1">
      <c r="A234" s="38"/>
      <c r="B234" s="38"/>
      <c r="C234" s="5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</row>
    <row r="235" ht="15.75" customHeight="1">
      <c r="A235" s="38"/>
      <c r="B235" s="38"/>
      <c r="C235" s="56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</row>
    <row r="236" ht="15.75" customHeight="1">
      <c r="A236" s="38"/>
      <c r="B236" s="38"/>
      <c r="C236" s="56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</row>
    <row r="237" ht="15.75" customHeight="1">
      <c r="A237" s="38"/>
      <c r="B237" s="38"/>
      <c r="C237" s="56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</row>
    <row r="238" ht="15.75" customHeight="1">
      <c r="A238" s="38"/>
      <c r="B238" s="38"/>
      <c r="C238" s="5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</row>
    <row r="239" ht="15.75" customHeight="1">
      <c r="A239" s="38"/>
      <c r="B239" s="38"/>
      <c r="C239" s="56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</row>
    <row r="240" ht="15.75" customHeight="1">
      <c r="A240" s="38"/>
      <c r="B240" s="38"/>
      <c r="C240" s="56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</row>
    <row r="241" ht="15.75" customHeight="1">
      <c r="A241" s="38"/>
      <c r="B241" s="38"/>
      <c r="C241" s="56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</row>
    <row r="242" ht="15.75" customHeight="1">
      <c r="A242" s="38"/>
      <c r="B242" s="38"/>
      <c r="C242" s="5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</row>
    <row r="243" ht="15.75" customHeight="1">
      <c r="A243" s="38"/>
      <c r="B243" s="38"/>
      <c r="C243" s="56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</row>
    <row r="244" ht="15.75" customHeight="1">
      <c r="A244" s="38"/>
      <c r="B244" s="38"/>
      <c r="C244" s="56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</row>
    <row r="245" ht="15.75" customHeight="1">
      <c r="A245" s="38"/>
      <c r="B245" s="38"/>
      <c r="C245" s="56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</row>
    <row r="246" ht="15.75" customHeight="1">
      <c r="A246" s="38"/>
      <c r="B246" s="38"/>
      <c r="C246" s="56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</row>
    <row r="247" ht="15.75" customHeight="1">
      <c r="A247" s="38"/>
      <c r="B247" s="38"/>
      <c r="C247" s="56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</row>
    <row r="248" ht="15.75" customHeight="1">
      <c r="A248" s="38"/>
      <c r="B248" s="38"/>
      <c r="C248" s="56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</row>
    <row r="249" ht="15.75" customHeight="1">
      <c r="A249" s="38"/>
      <c r="B249" s="38"/>
      <c r="C249" s="56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</row>
    <row r="250" ht="15.75" customHeight="1">
      <c r="A250" s="38"/>
      <c r="B250" s="38"/>
      <c r="C250" s="56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</row>
    <row r="251" ht="15.75" customHeight="1">
      <c r="A251" s="38"/>
      <c r="B251" s="38"/>
      <c r="C251" s="56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</row>
    <row r="252" ht="15.75" customHeight="1">
      <c r="A252" s="38"/>
      <c r="B252" s="38"/>
      <c r="C252" s="56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</row>
    <row r="253" ht="15.75" customHeight="1">
      <c r="A253" s="38"/>
      <c r="B253" s="38"/>
      <c r="C253" s="56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</row>
    <row r="254" ht="15.75" customHeight="1">
      <c r="A254" s="38"/>
      <c r="B254" s="38"/>
      <c r="C254" s="56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</row>
    <row r="255" ht="15.75" customHeight="1">
      <c r="A255" s="38"/>
      <c r="B255" s="38"/>
      <c r="C255" s="56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</row>
    <row r="256" ht="15.75" customHeight="1">
      <c r="A256" s="38"/>
      <c r="B256" s="38"/>
      <c r="C256" s="56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</row>
    <row r="257" ht="15.75" customHeight="1">
      <c r="A257" s="38"/>
      <c r="B257" s="38"/>
      <c r="C257" s="56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</row>
    <row r="258" ht="15.75" customHeight="1">
      <c r="A258" s="38"/>
      <c r="B258" s="38"/>
      <c r="C258" s="56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</row>
    <row r="259" ht="15.75" customHeight="1">
      <c r="A259" s="38"/>
      <c r="B259" s="38"/>
      <c r="C259" s="56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</row>
    <row r="260" ht="15.75" customHeight="1">
      <c r="A260" s="38"/>
      <c r="B260" s="38"/>
      <c r="C260" s="56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</row>
    <row r="261" ht="15.75" customHeight="1">
      <c r="A261" s="38"/>
      <c r="B261" s="38"/>
      <c r="C261" s="56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</row>
    <row r="262" ht="15.75" customHeight="1">
      <c r="A262" s="38"/>
      <c r="B262" s="38"/>
      <c r="C262" s="56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</row>
    <row r="263" ht="15.75" customHeight="1">
      <c r="A263" s="38"/>
      <c r="B263" s="38"/>
      <c r="C263" s="56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</row>
    <row r="264" ht="15.75" customHeight="1">
      <c r="A264" s="38"/>
      <c r="B264" s="38"/>
      <c r="C264" s="56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</row>
    <row r="265" ht="15.75" customHeight="1">
      <c r="A265" s="38"/>
      <c r="B265" s="38"/>
      <c r="C265" s="56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</row>
    <row r="266" ht="15.75" customHeight="1">
      <c r="A266" s="38"/>
      <c r="B266" s="38"/>
      <c r="C266" s="56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</row>
    <row r="267" ht="15.75" customHeight="1">
      <c r="A267" s="38"/>
      <c r="B267" s="38"/>
      <c r="C267" s="56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</row>
    <row r="268" ht="15.75" customHeight="1">
      <c r="A268" s="38"/>
      <c r="B268" s="38"/>
      <c r="C268" s="56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</row>
    <row r="269" ht="15.75" customHeight="1">
      <c r="A269" s="38"/>
      <c r="B269" s="38"/>
      <c r="C269" s="56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</row>
    <row r="270" ht="15.75" customHeight="1">
      <c r="A270" s="38"/>
      <c r="B270" s="38"/>
      <c r="C270" s="56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</row>
    <row r="271" ht="15.75" customHeight="1">
      <c r="A271" s="38"/>
      <c r="B271" s="38"/>
      <c r="C271" s="56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</row>
    <row r="272" ht="15.75" customHeight="1">
      <c r="A272" s="38"/>
      <c r="B272" s="38"/>
      <c r="C272" s="56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</row>
    <row r="273" ht="15.75" customHeight="1">
      <c r="A273" s="38"/>
      <c r="B273" s="38"/>
      <c r="C273" s="56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</row>
    <row r="274" ht="15.75" customHeight="1">
      <c r="A274" s="38"/>
      <c r="B274" s="38"/>
      <c r="C274" s="56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</row>
    <row r="275" ht="15.75" customHeight="1">
      <c r="A275" s="38"/>
      <c r="B275" s="38"/>
      <c r="C275" s="56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</row>
    <row r="276" ht="15.75" customHeight="1">
      <c r="A276" s="38"/>
      <c r="B276" s="38"/>
      <c r="C276" s="56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</row>
    <row r="277" ht="15.75" customHeight="1">
      <c r="A277" s="38"/>
      <c r="B277" s="38"/>
      <c r="C277" s="56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</row>
    <row r="278" ht="15.75" customHeight="1">
      <c r="A278" s="38"/>
      <c r="B278" s="38"/>
      <c r="C278" s="56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</row>
    <row r="279" ht="15.75" customHeight="1">
      <c r="A279" s="38"/>
      <c r="B279" s="38"/>
      <c r="C279" s="56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</row>
    <row r="280" ht="15.75" customHeight="1">
      <c r="A280" s="38"/>
      <c r="B280" s="38"/>
      <c r="C280" s="56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</row>
    <row r="281" ht="15.75" customHeight="1">
      <c r="A281" s="38"/>
      <c r="B281" s="38"/>
      <c r="C281" s="56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</row>
    <row r="282" ht="15.75" customHeight="1">
      <c r="A282" s="38"/>
      <c r="B282" s="38"/>
      <c r="C282" s="56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</row>
    <row r="283" ht="15.75" customHeight="1">
      <c r="A283" s="38"/>
      <c r="B283" s="38"/>
      <c r="C283" s="56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</row>
    <row r="284" ht="15.75" customHeight="1">
      <c r="A284" s="38"/>
      <c r="B284" s="38"/>
      <c r="C284" s="56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</row>
    <row r="285" ht="15.75" customHeight="1">
      <c r="A285" s="38"/>
      <c r="B285" s="38"/>
      <c r="C285" s="56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</row>
    <row r="286" ht="15.75" customHeight="1">
      <c r="A286" s="38"/>
      <c r="B286" s="38"/>
      <c r="C286" s="56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</row>
    <row r="287" ht="15.75" customHeight="1">
      <c r="A287" s="38"/>
      <c r="B287" s="38"/>
      <c r="C287" s="56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</row>
    <row r="288" ht="15.75" customHeight="1">
      <c r="A288" s="38"/>
      <c r="B288" s="38"/>
      <c r="C288" s="56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</row>
    <row r="289" ht="15.75" customHeight="1">
      <c r="A289" s="38"/>
      <c r="B289" s="38"/>
      <c r="C289" s="56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</row>
    <row r="290" ht="15.75" customHeight="1">
      <c r="A290" s="38"/>
      <c r="B290" s="38"/>
      <c r="C290" s="56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</row>
    <row r="291" ht="15.75" customHeight="1">
      <c r="A291" s="38"/>
      <c r="B291" s="38"/>
      <c r="C291" s="56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</row>
    <row r="292" ht="15.75" customHeight="1">
      <c r="A292" s="38"/>
      <c r="B292" s="38"/>
      <c r="C292" s="56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</row>
    <row r="293" ht="15.75" customHeight="1">
      <c r="A293" s="38"/>
      <c r="B293" s="38"/>
      <c r="C293" s="56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</row>
    <row r="294" ht="15.75" customHeight="1">
      <c r="A294" s="38"/>
      <c r="B294" s="38"/>
      <c r="C294" s="56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</row>
    <row r="295" ht="15.75" customHeight="1">
      <c r="A295" s="38"/>
      <c r="B295" s="38"/>
      <c r="C295" s="56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</row>
    <row r="296" ht="15.75" customHeight="1">
      <c r="A296" s="38"/>
      <c r="B296" s="38"/>
      <c r="C296" s="56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</row>
    <row r="297" ht="15.75" customHeight="1">
      <c r="A297" s="38"/>
      <c r="B297" s="38"/>
      <c r="C297" s="56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</row>
    <row r="298" ht="15.75" customHeight="1">
      <c r="A298" s="38"/>
      <c r="B298" s="38"/>
      <c r="C298" s="56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</row>
    <row r="299" ht="15.75" customHeight="1">
      <c r="A299" s="38"/>
      <c r="B299" s="38"/>
      <c r="C299" s="56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</row>
    <row r="300" ht="15.75" customHeight="1">
      <c r="A300" s="38"/>
      <c r="B300" s="38"/>
      <c r="C300" s="56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</row>
    <row r="301" ht="15.75" customHeight="1">
      <c r="A301" s="38"/>
      <c r="B301" s="38"/>
      <c r="C301" s="56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</row>
    <row r="302" ht="15.75" customHeight="1">
      <c r="A302" s="38"/>
      <c r="B302" s="38"/>
      <c r="C302" s="56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</row>
    <row r="303" ht="15.75" customHeight="1">
      <c r="A303" s="38"/>
      <c r="B303" s="38"/>
      <c r="C303" s="56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</row>
    <row r="304" ht="15.75" customHeight="1">
      <c r="A304" s="38"/>
      <c r="B304" s="38"/>
      <c r="C304" s="56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</row>
    <row r="305" ht="15.75" customHeight="1">
      <c r="A305" s="38"/>
      <c r="B305" s="38"/>
      <c r="C305" s="56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</row>
    <row r="306" ht="15.75" customHeight="1">
      <c r="A306" s="38"/>
      <c r="B306" s="38"/>
      <c r="C306" s="56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</row>
    <row r="307" ht="15.75" customHeight="1">
      <c r="A307" s="38"/>
      <c r="B307" s="38"/>
      <c r="C307" s="56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</row>
    <row r="308" ht="15.75" customHeight="1">
      <c r="A308" s="38"/>
      <c r="B308" s="38"/>
      <c r="C308" s="56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</row>
    <row r="309" ht="15.75" customHeight="1">
      <c r="A309" s="38"/>
      <c r="B309" s="38"/>
      <c r="C309" s="56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</row>
    <row r="310" ht="15.75" customHeight="1">
      <c r="A310" s="38"/>
      <c r="B310" s="38"/>
      <c r="C310" s="56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</row>
    <row r="311" ht="15.75" customHeight="1">
      <c r="A311" s="38"/>
      <c r="B311" s="38"/>
      <c r="C311" s="56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</row>
    <row r="312" ht="15.75" customHeight="1">
      <c r="A312" s="38"/>
      <c r="B312" s="38"/>
      <c r="C312" s="56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</row>
    <row r="313" ht="15.75" customHeight="1">
      <c r="A313" s="38"/>
      <c r="B313" s="38"/>
      <c r="C313" s="56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</row>
    <row r="314" ht="15.75" customHeight="1">
      <c r="A314" s="38"/>
      <c r="B314" s="38"/>
      <c r="C314" s="56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</row>
    <row r="315" ht="15.75" customHeight="1">
      <c r="A315" s="38"/>
      <c r="B315" s="38"/>
      <c r="C315" s="56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</row>
    <row r="316" ht="15.75" customHeight="1">
      <c r="A316" s="38"/>
      <c r="B316" s="38"/>
      <c r="C316" s="56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</row>
    <row r="317" ht="15.75" customHeight="1">
      <c r="A317" s="38"/>
      <c r="B317" s="38"/>
      <c r="C317" s="56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</row>
    <row r="318" ht="15.75" customHeight="1">
      <c r="A318" s="38"/>
      <c r="B318" s="38"/>
      <c r="C318" s="56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</row>
    <row r="319" ht="15.75" customHeight="1">
      <c r="A319" s="38"/>
      <c r="B319" s="38"/>
      <c r="C319" s="56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</row>
    <row r="320" ht="15.75" customHeight="1">
      <c r="A320" s="38"/>
      <c r="B320" s="38"/>
      <c r="C320" s="56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</row>
    <row r="321" ht="15.75" customHeight="1">
      <c r="A321" s="38"/>
      <c r="B321" s="38"/>
      <c r="C321" s="56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</row>
    <row r="322" ht="15.75" customHeight="1">
      <c r="A322" s="38"/>
      <c r="B322" s="38"/>
      <c r="C322" s="56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</row>
    <row r="323" ht="15.75" customHeight="1">
      <c r="A323" s="38"/>
      <c r="B323" s="38"/>
      <c r="C323" s="56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</row>
    <row r="324" ht="15.75" customHeight="1">
      <c r="A324" s="38"/>
      <c r="B324" s="38"/>
      <c r="C324" s="56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</row>
    <row r="325" ht="15.75" customHeight="1">
      <c r="A325" s="38"/>
      <c r="B325" s="38"/>
      <c r="C325" s="56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</row>
    <row r="326" ht="15.75" customHeight="1">
      <c r="A326" s="38"/>
      <c r="B326" s="38"/>
      <c r="C326" s="56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</row>
    <row r="327" ht="15.75" customHeight="1">
      <c r="A327" s="38"/>
      <c r="B327" s="38"/>
      <c r="C327" s="56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</row>
    <row r="328" ht="15.75" customHeight="1">
      <c r="A328" s="38"/>
      <c r="B328" s="38"/>
      <c r="C328" s="56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</row>
    <row r="329" ht="15.75" customHeight="1">
      <c r="A329" s="38"/>
      <c r="B329" s="38"/>
      <c r="C329" s="56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</row>
    <row r="330" ht="15.75" customHeight="1">
      <c r="A330" s="38"/>
      <c r="B330" s="38"/>
      <c r="C330" s="56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</row>
    <row r="331" ht="15.75" customHeight="1">
      <c r="A331" s="38"/>
      <c r="B331" s="38"/>
      <c r="C331" s="56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</row>
    <row r="332" ht="15.75" customHeight="1">
      <c r="A332" s="38"/>
      <c r="B332" s="38"/>
      <c r="C332" s="56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</row>
    <row r="333" ht="15.75" customHeight="1">
      <c r="A333" s="38"/>
      <c r="B333" s="38"/>
      <c r="C333" s="56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</row>
    <row r="334" ht="15.75" customHeight="1">
      <c r="A334" s="38"/>
      <c r="B334" s="38"/>
      <c r="C334" s="56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</row>
    <row r="335" ht="15.75" customHeight="1">
      <c r="A335" s="38"/>
      <c r="B335" s="38"/>
      <c r="C335" s="56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</row>
    <row r="336" ht="15.75" customHeight="1">
      <c r="A336" s="38"/>
      <c r="B336" s="38"/>
      <c r="C336" s="56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</row>
    <row r="337" ht="15.75" customHeight="1">
      <c r="A337" s="38"/>
      <c r="B337" s="38"/>
      <c r="C337" s="56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</row>
    <row r="338" ht="15.75" customHeight="1">
      <c r="A338" s="38"/>
      <c r="B338" s="38"/>
      <c r="C338" s="56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</row>
    <row r="339" ht="15.75" customHeight="1">
      <c r="A339" s="38"/>
      <c r="B339" s="38"/>
      <c r="C339" s="56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</row>
    <row r="340" ht="15.75" customHeight="1">
      <c r="A340" s="38"/>
      <c r="B340" s="38"/>
      <c r="C340" s="56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</row>
    <row r="341" ht="15.75" customHeight="1">
      <c r="A341" s="38"/>
      <c r="B341" s="38"/>
      <c r="C341" s="56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</row>
    <row r="342" ht="15.75" customHeight="1">
      <c r="A342" s="38"/>
      <c r="B342" s="38"/>
      <c r="C342" s="56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</row>
    <row r="343" ht="15.75" customHeight="1">
      <c r="A343" s="38"/>
      <c r="B343" s="38"/>
      <c r="C343" s="56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</row>
    <row r="344" ht="15.75" customHeight="1">
      <c r="A344" s="38"/>
      <c r="B344" s="38"/>
      <c r="C344" s="56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</row>
    <row r="345" ht="15.75" customHeight="1">
      <c r="A345" s="38"/>
      <c r="B345" s="38"/>
      <c r="C345" s="56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</row>
    <row r="346" ht="15.75" customHeight="1">
      <c r="A346" s="38"/>
      <c r="B346" s="38"/>
      <c r="C346" s="56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</row>
    <row r="347" ht="15.75" customHeight="1">
      <c r="A347" s="38"/>
      <c r="B347" s="38"/>
      <c r="C347" s="56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</row>
    <row r="348" ht="15.75" customHeight="1">
      <c r="A348" s="38"/>
      <c r="B348" s="38"/>
      <c r="C348" s="56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</row>
    <row r="349" ht="15.75" customHeight="1">
      <c r="A349" s="38"/>
      <c r="B349" s="38"/>
      <c r="C349" s="56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</row>
    <row r="350" ht="15.75" customHeight="1">
      <c r="A350" s="38"/>
      <c r="B350" s="38"/>
      <c r="C350" s="56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</row>
    <row r="351" ht="15.75" customHeight="1">
      <c r="A351" s="38"/>
      <c r="B351" s="38"/>
      <c r="C351" s="56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</row>
    <row r="352" ht="15.75" customHeight="1">
      <c r="A352" s="38"/>
      <c r="B352" s="38"/>
      <c r="C352" s="56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</row>
    <row r="353" ht="15.75" customHeight="1">
      <c r="A353" s="38"/>
      <c r="B353" s="38"/>
      <c r="C353" s="56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</row>
    <row r="354" ht="15.75" customHeight="1">
      <c r="A354" s="38"/>
      <c r="B354" s="38"/>
      <c r="C354" s="56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</row>
    <row r="355" ht="15.75" customHeight="1">
      <c r="A355" s="38"/>
      <c r="B355" s="38"/>
      <c r="C355" s="56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</row>
    <row r="356" ht="15.75" customHeight="1">
      <c r="A356" s="38"/>
      <c r="B356" s="38"/>
      <c r="C356" s="56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</row>
    <row r="357" ht="15.75" customHeight="1">
      <c r="A357" s="38"/>
      <c r="B357" s="38"/>
      <c r="C357" s="56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</row>
    <row r="358" ht="15.75" customHeight="1">
      <c r="A358" s="38"/>
      <c r="B358" s="38"/>
      <c r="C358" s="56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</row>
    <row r="359" ht="15.75" customHeight="1">
      <c r="A359" s="38"/>
      <c r="B359" s="38"/>
      <c r="C359" s="56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</row>
    <row r="360" ht="15.75" customHeight="1">
      <c r="A360" s="38"/>
      <c r="B360" s="38"/>
      <c r="C360" s="56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</row>
    <row r="361" ht="15.75" customHeight="1">
      <c r="A361" s="38"/>
      <c r="B361" s="38"/>
      <c r="C361" s="56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</row>
    <row r="362" ht="15.75" customHeight="1">
      <c r="A362" s="38"/>
      <c r="B362" s="38"/>
      <c r="C362" s="56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</row>
    <row r="363" ht="15.75" customHeight="1">
      <c r="A363" s="38"/>
      <c r="B363" s="38"/>
      <c r="C363" s="56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</row>
    <row r="364" ht="15.75" customHeight="1">
      <c r="A364" s="38"/>
      <c r="B364" s="38"/>
      <c r="C364" s="56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</row>
    <row r="365" ht="15.75" customHeight="1">
      <c r="A365" s="38"/>
      <c r="B365" s="38"/>
      <c r="C365" s="56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</row>
    <row r="366" ht="15.75" customHeight="1">
      <c r="A366" s="38"/>
      <c r="B366" s="38"/>
      <c r="C366" s="56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</row>
    <row r="367" ht="15.75" customHeight="1">
      <c r="A367" s="38"/>
      <c r="B367" s="38"/>
      <c r="C367" s="56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</row>
    <row r="368" ht="15.75" customHeight="1">
      <c r="A368" s="38"/>
      <c r="B368" s="38"/>
      <c r="C368" s="56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</row>
    <row r="369" ht="15.75" customHeight="1">
      <c r="A369" s="38"/>
      <c r="B369" s="38"/>
      <c r="C369" s="56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</row>
    <row r="370" ht="15.75" customHeight="1">
      <c r="A370" s="38"/>
      <c r="B370" s="38"/>
      <c r="C370" s="56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</row>
    <row r="371" ht="15.75" customHeight="1">
      <c r="A371" s="38"/>
      <c r="B371" s="38"/>
      <c r="C371" s="56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</row>
    <row r="372" ht="15.75" customHeight="1">
      <c r="A372" s="38"/>
      <c r="B372" s="38"/>
      <c r="C372" s="56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</row>
    <row r="373" ht="15.75" customHeight="1">
      <c r="A373" s="38"/>
      <c r="B373" s="38"/>
      <c r="C373" s="56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</row>
    <row r="374" ht="15.75" customHeight="1">
      <c r="A374" s="38"/>
      <c r="B374" s="38"/>
      <c r="C374" s="56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</row>
    <row r="375" ht="15.75" customHeight="1">
      <c r="A375" s="38"/>
      <c r="B375" s="38"/>
      <c r="C375" s="56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</row>
    <row r="376" ht="15.75" customHeight="1">
      <c r="A376" s="38"/>
      <c r="B376" s="38"/>
      <c r="C376" s="56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</row>
    <row r="377" ht="15.75" customHeight="1">
      <c r="A377" s="38"/>
      <c r="B377" s="38"/>
      <c r="C377" s="56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</row>
    <row r="378" ht="15.75" customHeight="1">
      <c r="A378" s="38"/>
      <c r="B378" s="38"/>
      <c r="C378" s="56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</row>
    <row r="379" ht="15.75" customHeight="1">
      <c r="A379" s="38"/>
      <c r="B379" s="38"/>
      <c r="C379" s="56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</row>
    <row r="380" ht="15.75" customHeight="1">
      <c r="A380" s="38"/>
      <c r="B380" s="38"/>
      <c r="C380" s="56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</row>
    <row r="381" ht="15.75" customHeight="1">
      <c r="A381" s="38"/>
      <c r="B381" s="38"/>
      <c r="C381" s="56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</row>
    <row r="382" ht="15.75" customHeight="1">
      <c r="A382" s="38"/>
      <c r="B382" s="38"/>
      <c r="C382" s="56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</row>
    <row r="383" ht="15.75" customHeight="1">
      <c r="A383" s="38"/>
      <c r="B383" s="38"/>
      <c r="C383" s="56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</row>
    <row r="384" ht="15.75" customHeight="1">
      <c r="A384" s="38"/>
      <c r="B384" s="38"/>
      <c r="C384" s="56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</row>
    <row r="385" ht="15.75" customHeight="1">
      <c r="A385" s="38"/>
      <c r="B385" s="38"/>
      <c r="C385" s="56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</row>
    <row r="386" ht="15.75" customHeight="1">
      <c r="A386" s="38"/>
      <c r="B386" s="38"/>
      <c r="C386" s="56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</row>
    <row r="387" ht="15.75" customHeight="1">
      <c r="A387" s="38"/>
      <c r="B387" s="38"/>
      <c r="C387" s="56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</row>
    <row r="388" ht="15.75" customHeight="1">
      <c r="A388" s="38"/>
      <c r="B388" s="38"/>
      <c r="C388" s="56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</row>
    <row r="389" ht="15.75" customHeight="1">
      <c r="A389" s="38"/>
      <c r="B389" s="38"/>
      <c r="C389" s="56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</row>
    <row r="390" ht="15.75" customHeight="1">
      <c r="A390" s="38"/>
      <c r="B390" s="38"/>
      <c r="C390" s="56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</row>
    <row r="391" ht="15.75" customHeight="1">
      <c r="A391" s="38"/>
      <c r="B391" s="38"/>
      <c r="C391" s="56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</row>
    <row r="392" ht="15.75" customHeight="1">
      <c r="A392" s="38"/>
      <c r="B392" s="38"/>
      <c r="C392" s="56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</row>
    <row r="393" ht="15.75" customHeight="1">
      <c r="A393" s="38"/>
      <c r="B393" s="38"/>
      <c r="C393" s="56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</row>
    <row r="394" ht="15.75" customHeight="1">
      <c r="A394" s="38"/>
      <c r="B394" s="38"/>
      <c r="C394" s="56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</row>
    <row r="395" ht="15.75" customHeight="1">
      <c r="A395" s="38"/>
      <c r="B395" s="38"/>
      <c r="C395" s="56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</row>
    <row r="396" ht="15.75" customHeight="1">
      <c r="A396" s="38"/>
      <c r="B396" s="38"/>
      <c r="C396" s="56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</row>
    <row r="397" ht="15.75" customHeight="1">
      <c r="A397" s="38"/>
      <c r="B397" s="38"/>
      <c r="C397" s="56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</row>
    <row r="398" ht="15.75" customHeight="1">
      <c r="A398" s="38"/>
      <c r="B398" s="38"/>
      <c r="C398" s="56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</row>
    <row r="399" ht="15.75" customHeight="1">
      <c r="A399" s="38"/>
      <c r="B399" s="38"/>
      <c r="C399" s="56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</row>
    <row r="400" ht="15.75" customHeight="1">
      <c r="A400" s="38"/>
      <c r="B400" s="38"/>
      <c r="C400" s="56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</row>
    <row r="401" ht="15.75" customHeight="1">
      <c r="A401" s="38"/>
      <c r="B401" s="38"/>
      <c r="C401" s="56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</row>
    <row r="402" ht="15.75" customHeight="1">
      <c r="A402" s="38"/>
      <c r="B402" s="38"/>
      <c r="C402" s="56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</row>
    <row r="403" ht="15.75" customHeight="1">
      <c r="A403" s="38"/>
      <c r="B403" s="38"/>
      <c r="C403" s="56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</row>
    <row r="404" ht="15.75" customHeight="1">
      <c r="A404" s="38"/>
      <c r="B404" s="38"/>
      <c r="C404" s="56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</row>
    <row r="405" ht="15.75" customHeight="1">
      <c r="A405" s="38"/>
      <c r="B405" s="38"/>
      <c r="C405" s="56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</row>
    <row r="406" ht="15.75" customHeight="1">
      <c r="A406" s="38"/>
      <c r="B406" s="38"/>
      <c r="C406" s="56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</row>
    <row r="407" ht="15.75" customHeight="1">
      <c r="A407" s="38"/>
      <c r="B407" s="38"/>
      <c r="C407" s="56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</row>
    <row r="408" ht="15.75" customHeight="1">
      <c r="A408" s="38"/>
      <c r="B408" s="38"/>
      <c r="C408" s="56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</row>
    <row r="409" ht="15.75" customHeight="1">
      <c r="A409" s="38"/>
      <c r="B409" s="38"/>
      <c r="C409" s="56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</row>
    <row r="410" ht="15.75" customHeight="1">
      <c r="A410" s="38"/>
      <c r="B410" s="38"/>
      <c r="C410" s="56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</row>
    <row r="411" ht="15.75" customHeight="1">
      <c r="A411" s="38"/>
      <c r="B411" s="38"/>
      <c r="C411" s="56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</row>
    <row r="412" ht="15.75" customHeight="1">
      <c r="A412" s="38"/>
      <c r="B412" s="38"/>
      <c r="C412" s="56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</row>
    <row r="413" ht="15.75" customHeight="1">
      <c r="A413" s="38"/>
      <c r="B413" s="38"/>
      <c r="C413" s="56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</row>
    <row r="414" ht="15.75" customHeight="1">
      <c r="A414" s="38"/>
      <c r="B414" s="38"/>
      <c r="C414" s="56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</row>
    <row r="415" ht="15.75" customHeight="1">
      <c r="A415" s="38"/>
      <c r="B415" s="38"/>
      <c r="C415" s="56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</row>
    <row r="416" ht="15.75" customHeight="1">
      <c r="A416" s="38"/>
      <c r="B416" s="38"/>
      <c r="C416" s="56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</row>
    <row r="417" ht="15.75" customHeight="1">
      <c r="A417" s="38"/>
      <c r="B417" s="38"/>
      <c r="C417" s="56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</row>
    <row r="418" ht="15.75" customHeight="1">
      <c r="A418" s="38"/>
      <c r="B418" s="38"/>
      <c r="C418" s="56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</row>
    <row r="419" ht="15.75" customHeight="1">
      <c r="A419" s="38"/>
      <c r="B419" s="38"/>
      <c r="C419" s="56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</row>
    <row r="420" ht="15.75" customHeight="1">
      <c r="A420" s="38"/>
      <c r="B420" s="38"/>
      <c r="C420" s="56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</row>
    <row r="421" ht="15.75" customHeight="1">
      <c r="A421" s="38"/>
      <c r="B421" s="38"/>
      <c r="C421" s="56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</row>
    <row r="422" ht="15.75" customHeight="1">
      <c r="A422" s="38"/>
      <c r="B422" s="38"/>
      <c r="C422" s="56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</row>
    <row r="423" ht="15.75" customHeight="1">
      <c r="A423" s="38"/>
      <c r="B423" s="38"/>
      <c r="C423" s="56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</row>
    <row r="424" ht="15.75" customHeight="1">
      <c r="A424" s="38"/>
      <c r="B424" s="38"/>
      <c r="C424" s="56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</row>
    <row r="425" ht="15.75" customHeight="1">
      <c r="A425" s="38"/>
      <c r="B425" s="38"/>
      <c r="C425" s="56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</row>
    <row r="426" ht="15.75" customHeight="1">
      <c r="A426" s="38"/>
      <c r="B426" s="38"/>
      <c r="C426" s="56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</row>
    <row r="427" ht="15.75" customHeight="1">
      <c r="A427" s="38"/>
      <c r="B427" s="38"/>
      <c r="C427" s="56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</row>
    <row r="428" ht="15.75" customHeight="1">
      <c r="A428" s="38"/>
      <c r="B428" s="38"/>
      <c r="C428" s="56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</row>
    <row r="429" ht="15.75" customHeight="1">
      <c r="A429" s="38"/>
      <c r="B429" s="38"/>
      <c r="C429" s="56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</row>
    <row r="430" ht="15.75" customHeight="1">
      <c r="A430" s="38"/>
      <c r="B430" s="38"/>
      <c r="C430" s="56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</row>
    <row r="431" ht="15.75" customHeight="1">
      <c r="A431" s="38"/>
      <c r="B431" s="38"/>
      <c r="C431" s="56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</row>
    <row r="432" ht="15.75" customHeight="1">
      <c r="A432" s="38"/>
      <c r="B432" s="38"/>
      <c r="C432" s="56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</row>
    <row r="433" ht="15.75" customHeight="1">
      <c r="A433" s="38"/>
      <c r="B433" s="38"/>
      <c r="C433" s="56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</row>
    <row r="434" ht="15.75" customHeight="1">
      <c r="A434" s="38"/>
      <c r="B434" s="38"/>
      <c r="C434" s="56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</row>
    <row r="435" ht="15.75" customHeight="1">
      <c r="A435" s="38"/>
      <c r="B435" s="38"/>
      <c r="C435" s="56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</row>
    <row r="436" ht="15.75" customHeight="1">
      <c r="A436" s="38"/>
      <c r="B436" s="38"/>
      <c r="C436" s="56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</row>
    <row r="437" ht="15.75" customHeight="1">
      <c r="A437" s="38"/>
      <c r="B437" s="38"/>
      <c r="C437" s="56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</row>
    <row r="438" ht="15.75" customHeight="1">
      <c r="A438" s="38"/>
      <c r="B438" s="38"/>
      <c r="C438" s="56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</row>
    <row r="439" ht="15.75" customHeight="1">
      <c r="A439" s="38"/>
      <c r="B439" s="38"/>
      <c r="C439" s="56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</row>
    <row r="440" ht="15.75" customHeight="1">
      <c r="A440" s="38"/>
      <c r="B440" s="38"/>
      <c r="C440" s="56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</row>
    <row r="441" ht="15.75" customHeight="1">
      <c r="A441" s="38"/>
      <c r="B441" s="38"/>
      <c r="C441" s="56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</row>
    <row r="442" ht="15.75" customHeight="1">
      <c r="A442" s="38"/>
      <c r="B442" s="38"/>
      <c r="C442" s="56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</row>
    <row r="443" ht="15.75" customHeight="1">
      <c r="A443" s="38"/>
      <c r="B443" s="38"/>
      <c r="C443" s="56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</row>
    <row r="444" ht="15.75" customHeight="1">
      <c r="A444" s="38"/>
      <c r="B444" s="38"/>
      <c r="C444" s="56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</row>
    <row r="445" ht="15.75" customHeight="1">
      <c r="A445" s="38"/>
      <c r="B445" s="38"/>
      <c r="C445" s="56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</row>
    <row r="446" ht="15.75" customHeight="1">
      <c r="A446" s="38"/>
      <c r="B446" s="38"/>
      <c r="C446" s="56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</row>
    <row r="447" ht="15.75" customHeight="1">
      <c r="A447" s="38"/>
      <c r="B447" s="38"/>
      <c r="C447" s="56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</row>
    <row r="448" ht="15.75" customHeight="1">
      <c r="A448" s="38"/>
      <c r="B448" s="38"/>
      <c r="C448" s="56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</row>
    <row r="449" ht="15.75" customHeight="1">
      <c r="A449" s="38"/>
      <c r="B449" s="38"/>
      <c r="C449" s="56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</row>
    <row r="450" ht="15.75" customHeight="1">
      <c r="A450" s="38"/>
      <c r="B450" s="38"/>
      <c r="C450" s="56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</row>
    <row r="451" ht="15.75" customHeight="1">
      <c r="A451" s="38"/>
      <c r="B451" s="38"/>
      <c r="C451" s="56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</row>
    <row r="452" ht="15.75" customHeight="1">
      <c r="A452" s="38"/>
      <c r="B452" s="38"/>
      <c r="C452" s="56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</row>
    <row r="453" ht="15.75" customHeight="1">
      <c r="A453" s="38"/>
      <c r="B453" s="38"/>
      <c r="C453" s="56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</row>
    <row r="454" ht="15.75" customHeight="1">
      <c r="A454" s="38"/>
      <c r="B454" s="38"/>
      <c r="C454" s="56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</row>
    <row r="455" ht="15.75" customHeight="1">
      <c r="A455" s="38"/>
      <c r="B455" s="38"/>
      <c r="C455" s="56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</row>
    <row r="456" ht="15.75" customHeight="1">
      <c r="A456" s="38"/>
      <c r="B456" s="38"/>
      <c r="C456" s="56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</row>
    <row r="457" ht="15.75" customHeight="1">
      <c r="A457" s="38"/>
      <c r="B457" s="38"/>
      <c r="C457" s="56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</row>
    <row r="458" ht="15.75" customHeight="1">
      <c r="A458" s="38"/>
      <c r="B458" s="38"/>
      <c r="C458" s="56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</row>
    <row r="459" ht="15.75" customHeight="1">
      <c r="A459" s="38"/>
      <c r="B459" s="38"/>
      <c r="C459" s="56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</row>
    <row r="460" ht="15.75" customHeight="1">
      <c r="A460" s="38"/>
      <c r="B460" s="38"/>
      <c r="C460" s="56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</row>
    <row r="461" ht="15.75" customHeight="1">
      <c r="A461" s="38"/>
      <c r="B461" s="38"/>
      <c r="C461" s="56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</row>
    <row r="462" ht="15.75" customHeight="1">
      <c r="A462" s="38"/>
      <c r="B462" s="38"/>
      <c r="C462" s="56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</row>
    <row r="463" ht="15.75" customHeight="1">
      <c r="A463" s="38"/>
      <c r="B463" s="38"/>
      <c r="C463" s="56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</row>
    <row r="464" ht="15.75" customHeight="1">
      <c r="A464" s="38"/>
      <c r="B464" s="38"/>
      <c r="C464" s="56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</row>
    <row r="465" ht="15.75" customHeight="1">
      <c r="A465" s="38"/>
      <c r="B465" s="38"/>
      <c r="C465" s="56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</row>
    <row r="466" ht="15.75" customHeight="1">
      <c r="A466" s="38"/>
      <c r="B466" s="38"/>
      <c r="C466" s="56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</row>
    <row r="467" ht="15.75" customHeight="1">
      <c r="A467" s="38"/>
      <c r="B467" s="38"/>
      <c r="C467" s="56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</row>
    <row r="468" ht="15.75" customHeight="1">
      <c r="A468" s="38"/>
      <c r="B468" s="38"/>
      <c r="C468" s="56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</row>
    <row r="469" ht="15.75" customHeight="1">
      <c r="A469" s="38"/>
      <c r="B469" s="38"/>
      <c r="C469" s="56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</row>
    <row r="470" ht="15.75" customHeight="1">
      <c r="A470" s="38"/>
      <c r="B470" s="38"/>
      <c r="C470" s="56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</row>
    <row r="471" ht="15.75" customHeight="1">
      <c r="A471" s="38"/>
      <c r="B471" s="38"/>
      <c r="C471" s="56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</row>
    <row r="472" ht="15.75" customHeight="1">
      <c r="A472" s="38"/>
      <c r="B472" s="38"/>
      <c r="C472" s="56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</row>
    <row r="473" ht="15.75" customHeight="1">
      <c r="A473" s="38"/>
      <c r="B473" s="38"/>
      <c r="C473" s="56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</row>
    <row r="474" ht="15.75" customHeight="1">
      <c r="A474" s="38"/>
      <c r="B474" s="38"/>
      <c r="C474" s="56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</row>
    <row r="475" ht="15.75" customHeight="1">
      <c r="A475" s="38"/>
      <c r="B475" s="38"/>
      <c r="C475" s="56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</row>
    <row r="476" ht="15.75" customHeight="1">
      <c r="A476" s="38"/>
      <c r="B476" s="38"/>
      <c r="C476" s="56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</row>
    <row r="477" ht="15.75" customHeight="1">
      <c r="A477" s="38"/>
      <c r="B477" s="38"/>
      <c r="C477" s="56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</row>
    <row r="478" ht="15.75" customHeight="1">
      <c r="A478" s="38"/>
      <c r="B478" s="38"/>
      <c r="C478" s="56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</row>
    <row r="479" ht="15.75" customHeight="1">
      <c r="A479" s="38"/>
      <c r="B479" s="38"/>
      <c r="C479" s="56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</row>
    <row r="480" ht="15.75" customHeight="1">
      <c r="A480" s="38"/>
      <c r="B480" s="38"/>
      <c r="C480" s="56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</row>
    <row r="481" ht="15.75" customHeight="1">
      <c r="A481" s="38"/>
      <c r="B481" s="38"/>
      <c r="C481" s="56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</row>
    <row r="482" ht="15.75" customHeight="1">
      <c r="A482" s="38"/>
      <c r="B482" s="38"/>
      <c r="C482" s="56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</row>
    <row r="483" ht="15.75" customHeight="1">
      <c r="A483" s="38"/>
      <c r="B483" s="38"/>
      <c r="C483" s="56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</row>
    <row r="484" ht="15.75" customHeight="1">
      <c r="A484" s="38"/>
      <c r="B484" s="38"/>
      <c r="C484" s="56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</row>
    <row r="485" ht="15.75" customHeight="1">
      <c r="A485" s="38"/>
      <c r="B485" s="38"/>
      <c r="C485" s="56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</row>
    <row r="486" ht="15.75" customHeight="1">
      <c r="A486" s="38"/>
      <c r="B486" s="38"/>
      <c r="C486" s="56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</row>
    <row r="487" ht="15.75" customHeight="1">
      <c r="A487" s="38"/>
      <c r="B487" s="38"/>
      <c r="C487" s="56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</row>
    <row r="488" ht="15.75" customHeight="1">
      <c r="A488" s="38"/>
      <c r="B488" s="38"/>
      <c r="C488" s="56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</row>
    <row r="489" ht="15.75" customHeight="1">
      <c r="A489" s="38"/>
      <c r="B489" s="38"/>
      <c r="C489" s="56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</row>
    <row r="490" ht="15.75" customHeight="1">
      <c r="A490" s="38"/>
      <c r="B490" s="38"/>
      <c r="C490" s="56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</row>
    <row r="491" ht="15.75" customHeight="1">
      <c r="A491" s="38"/>
      <c r="B491" s="38"/>
      <c r="C491" s="56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</row>
    <row r="492" ht="15.75" customHeight="1">
      <c r="A492" s="38"/>
      <c r="B492" s="38"/>
      <c r="C492" s="56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</row>
    <row r="493" ht="15.75" customHeight="1">
      <c r="A493" s="38"/>
      <c r="B493" s="38"/>
      <c r="C493" s="56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</row>
    <row r="494" ht="15.75" customHeight="1">
      <c r="A494" s="38"/>
      <c r="B494" s="38"/>
      <c r="C494" s="56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</row>
    <row r="495" ht="15.75" customHeight="1">
      <c r="A495" s="38"/>
      <c r="B495" s="38"/>
      <c r="C495" s="56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</row>
    <row r="496" ht="15.75" customHeight="1">
      <c r="A496" s="38"/>
      <c r="B496" s="38"/>
      <c r="C496" s="56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</row>
    <row r="497" ht="15.75" customHeight="1">
      <c r="A497" s="38"/>
      <c r="B497" s="38"/>
      <c r="C497" s="56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</row>
    <row r="498" ht="15.75" customHeight="1">
      <c r="A498" s="38"/>
      <c r="B498" s="38"/>
      <c r="C498" s="56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</row>
    <row r="499" ht="15.75" customHeight="1">
      <c r="A499" s="38"/>
      <c r="B499" s="38"/>
      <c r="C499" s="56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</row>
    <row r="500" ht="15.75" customHeight="1">
      <c r="A500" s="38"/>
      <c r="B500" s="38"/>
      <c r="C500" s="56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</row>
    <row r="501" ht="15.75" customHeight="1">
      <c r="A501" s="38"/>
      <c r="B501" s="38"/>
      <c r="C501" s="56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</row>
    <row r="502" ht="15.75" customHeight="1">
      <c r="A502" s="38"/>
      <c r="B502" s="38"/>
      <c r="C502" s="56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</row>
    <row r="503" ht="15.75" customHeight="1">
      <c r="A503" s="38"/>
      <c r="B503" s="38"/>
      <c r="C503" s="56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</row>
    <row r="504" ht="15.75" customHeight="1">
      <c r="A504" s="38"/>
      <c r="B504" s="38"/>
      <c r="C504" s="56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</row>
    <row r="505" ht="15.75" customHeight="1">
      <c r="A505" s="38"/>
      <c r="B505" s="38"/>
      <c r="C505" s="56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</row>
    <row r="506" ht="15.75" customHeight="1">
      <c r="A506" s="38"/>
      <c r="B506" s="38"/>
      <c r="C506" s="56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</row>
    <row r="507" ht="15.75" customHeight="1">
      <c r="A507" s="38"/>
      <c r="B507" s="38"/>
      <c r="C507" s="56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</row>
    <row r="508" ht="15.75" customHeight="1">
      <c r="A508" s="38"/>
      <c r="B508" s="38"/>
      <c r="C508" s="56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</row>
    <row r="509" ht="15.75" customHeight="1">
      <c r="A509" s="38"/>
      <c r="B509" s="38"/>
      <c r="C509" s="56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</row>
    <row r="510" ht="15.75" customHeight="1">
      <c r="A510" s="38"/>
      <c r="B510" s="38"/>
      <c r="C510" s="56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</row>
    <row r="511" ht="15.75" customHeight="1">
      <c r="A511" s="38"/>
      <c r="B511" s="38"/>
      <c r="C511" s="56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</row>
    <row r="512" ht="15.75" customHeight="1">
      <c r="A512" s="38"/>
      <c r="B512" s="38"/>
      <c r="C512" s="56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</row>
    <row r="513" ht="15.75" customHeight="1">
      <c r="A513" s="38"/>
      <c r="B513" s="38"/>
      <c r="C513" s="56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</row>
    <row r="514" ht="15.75" customHeight="1">
      <c r="A514" s="38"/>
      <c r="B514" s="38"/>
      <c r="C514" s="56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</row>
    <row r="515" ht="15.75" customHeight="1">
      <c r="A515" s="38"/>
      <c r="B515" s="38"/>
      <c r="C515" s="56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</row>
    <row r="516" ht="15.75" customHeight="1">
      <c r="A516" s="38"/>
      <c r="B516" s="38"/>
      <c r="C516" s="56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</row>
    <row r="517" ht="15.75" customHeight="1">
      <c r="A517" s="38"/>
      <c r="B517" s="38"/>
      <c r="C517" s="56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</row>
    <row r="518" ht="15.75" customHeight="1">
      <c r="A518" s="38"/>
      <c r="B518" s="38"/>
      <c r="C518" s="56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</row>
    <row r="519" ht="15.75" customHeight="1">
      <c r="A519" s="38"/>
      <c r="B519" s="38"/>
      <c r="C519" s="56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</row>
    <row r="520" ht="15.75" customHeight="1">
      <c r="A520" s="38"/>
      <c r="B520" s="38"/>
      <c r="C520" s="56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</row>
    <row r="521" ht="15.75" customHeight="1">
      <c r="A521" s="38"/>
      <c r="B521" s="38"/>
      <c r="C521" s="56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</row>
    <row r="522" ht="15.75" customHeight="1">
      <c r="A522" s="38"/>
      <c r="B522" s="38"/>
      <c r="C522" s="56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</row>
    <row r="523" ht="15.75" customHeight="1">
      <c r="A523" s="38"/>
      <c r="B523" s="38"/>
      <c r="C523" s="56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</row>
    <row r="524" ht="15.75" customHeight="1">
      <c r="A524" s="38"/>
      <c r="B524" s="38"/>
      <c r="C524" s="56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</row>
    <row r="525" ht="15.75" customHeight="1">
      <c r="A525" s="38"/>
      <c r="B525" s="38"/>
      <c r="C525" s="56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</row>
    <row r="526" ht="15.75" customHeight="1">
      <c r="A526" s="38"/>
      <c r="B526" s="38"/>
      <c r="C526" s="56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</row>
    <row r="527" ht="15.75" customHeight="1">
      <c r="A527" s="38"/>
      <c r="B527" s="38"/>
      <c r="C527" s="56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</row>
    <row r="528" ht="15.75" customHeight="1">
      <c r="A528" s="38"/>
      <c r="B528" s="38"/>
      <c r="C528" s="56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</row>
    <row r="529" ht="15.75" customHeight="1">
      <c r="A529" s="38"/>
      <c r="B529" s="38"/>
      <c r="C529" s="56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</row>
    <row r="530" ht="15.75" customHeight="1">
      <c r="A530" s="38"/>
      <c r="B530" s="38"/>
      <c r="C530" s="56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</row>
    <row r="531" ht="15.75" customHeight="1">
      <c r="A531" s="38"/>
      <c r="B531" s="38"/>
      <c r="C531" s="56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</row>
    <row r="532" ht="15.75" customHeight="1">
      <c r="A532" s="38"/>
      <c r="B532" s="38"/>
      <c r="C532" s="56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</row>
    <row r="533" ht="15.75" customHeight="1">
      <c r="A533" s="38"/>
      <c r="B533" s="38"/>
      <c r="C533" s="56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</row>
    <row r="534" ht="15.75" customHeight="1">
      <c r="A534" s="38"/>
      <c r="B534" s="38"/>
      <c r="C534" s="56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</row>
    <row r="535" ht="15.75" customHeight="1">
      <c r="A535" s="38"/>
      <c r="B535" s="38"/>
      <c r="C535" s="56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</row>
    <row r="536" ht="15.75" customHeight="1">
      <c r="A536" s="38"/>
      <c r="B536" s="38"/>
      <c r="C536" s="56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</row>
    <row r="537" ht="15.75" customHeight="1">
      <c r="A537" s="38"/>
      <c r="B537" s="38"/>
      <c r="C537" s="56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</row>
    <row r="538" ht="15.75" customHeight="1">
      <c r="A538" s="38"/>
      <c r="B538" s="38"/>
      <c r="C538" s="56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</row>
    <row r="539" ht="15.75" customHeight="1">
      <c r="A539" s="38"/>
      <c r="B539" s="38"/>
      <c r="C539" s="56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</row>
    <row r="540" ht="15.75" customHeight="1">
      <c r="A540" s="38"/>
      <c r="B540" s="38"/>
      <c r="C540" s="56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</row>
    <row r="541" ht="15.75" customHeight="1">
      <c r="A541" s="38"/>
      <c r="B541" s="38"/>
      <c r="C541" s="56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</row>
    <row r="542" ht="15.75" customHeight="1">
      <c r="A542" s="38"/>
      <c r="B542" s="38"/>
      <c r="C542" s="56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</row>
    <row r="543" ht="15.75" customHeight="1">
      <c r="A543" s="38"/>
      <c r="B543" s="38"/>
      <c r="C543" s="56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</row>
    <row r="544" ht="15.75" customHeight="1">
      <c r="A544" s="38"/>
      <c r="B544" s="38"/>
      <c r="C544" s="56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</row>
    <row r="545" ht="15.75" customHeight="1">
      <c r="A545" s="38"/>
      <c r="B545" s="38"/>
      <c r="C545" s="56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</row>
    <row r="546" ht="15.75" customHeight="1">
      <c r="A546" s="38"/>
      <c r="B546" s="38"/>
      <c r="C546" s="56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</row>
    <row r="547" ht="15.75" customHeight="1">
      <c r="A547" s="38"/>
      <c r="B547" s="38"/>
      <c r="C547" s="56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</row>
    <row r="548" ht="15.75" customHeight="1">
      <c r="A548" s="38"/>
      <c r="B548" s="38"/>
      <c r="C548" s="56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</row>
    <row r="549" ht="15.75" customHeight="1">
      <c r="A549" s="38"/>
      <c r="B549" s="38"/>
      <c r="C549" s="56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</row>
    <row r="550" ht="15.75" customHeight="1">
      <c r="A550" s="38"/>
      <c r="B550" s="38"/>
      <c r="C550" s="56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</row>
    <row r="551" ht="15.75" customHeight="1">
      <c r="A551" s="38"/>
      <c r="B551" s="38"/>
      <c r="C551" s="56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</row>
    <row r="552" ht="15.75" customHeight="1">
      <c r="A552" s="38"/>
      <c r="B552" s="38"/>
      <c r="C552" s="56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</row>
    <row r="553" ht="15.75" customHeight="1">
      <c r="A553" s="38"/>
      <c r="B553" s="38"/>
      <c r="C553" s="56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</row>
    <row r="554" ht="15.75" customHeight="1">
      <c r="A554" s="38"/>
      <c r="B554" s="38"/>
      <c r="C554" s="56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</row>
    <row r="555" ht="15.75" customHeight="1">
      <c r="A555" s="38"/>
      <c r="B555" s="38"/>
      <c r="C555" s="56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</row>
    <row r="556" ht="15.75" customHeight="1">
      <c r="A556" s="38"/>
      <c r="B556" s="38"/>
      <c r="C556" s="56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</row>
    <row r="557" ht="15.75" customHeight="1">
      <c r="A557" s="38"/>
      <c r="B557" s="38"/>
      <c r="C557" s="56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</row>
    <row r="558" ht="15.75" customHeight="1">
      <c r="A558" s="38"/>
      <c r="B558" s="38"/>
      <c r="C558" s="56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</row>
    <row r="559" ht="15.75" customHeight="1">
      <c r="A559" s="38"/>
      <c r="B559" s="38"/>
      <c r="C559" s="56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</row>
    <row r="560" ht="15.75" customHeight="1">
      <c r="A560" s="38"/>
      <c r="B560" s="38"/>
      <c r="C560" s="56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</row>
    <row r="561" ht="15.75" customHeight="1">
      <c r="A561" s="38"/>
      <c r="B561" s="38"/>
      <c r="C561" s="56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</row>
    <row r="562" ht="15.75" customHeight="1">
      <c r="A562" s="38"/>
      <c r="B562" s="38"/>
      <c r="C562" s="56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</row>
    <row r="563" ht="15.75" customHeight="1">
      <c r="A563" s="38"/>
      <c r="B563" s="38"/>
      <c r="C563" s="56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</row>
    <row r="564" ht="15.75" customHeight="1">
      <c r="A564" s="38"/>
      <c r="B564" s="38"/>
      <c r="C564" s="56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</row>
    <row r="565" ht="15.75" customHeight="1">
      <c r="A565" s="38"/>
      <c r="B565" s="38"/>
      <c r="C565" s="56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</row>
    <row r="566" ht="15.75" customHeight="1">
      <c r="A566" s="38"/>
      <c r="B566" s="38"/>
      <c r="C566" s="56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</row>
    <row r="567" ht="15.75" customHeight="1">
      <c r="A567" s="38"/>
      <c r="B567" s="38"/>
      <c r="C567" s="56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</row>
    <row r="568" ht="15.75" customHeight="1">
      <c r="A568" s="38"/>
      <c r="B568" s="38"/>
      <c r="C568" s="56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</row>
    <row r="569" ht="15.75" customHeight="1">
      <c r="A569" s="38"/>
      <c r="B569" s="38"/>
      <c r="C569" s="56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</row>
    <row r="570" ht="15.75" customHeight="1">
      <c r="A570" s="38"/>
      <c r="B570" s="38"/>
      <c r="C570" s="56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</row>
    <row r="571" ht="15.75" customHeight="1">
      <c r="A571" s="38"/>
      <c r="B571" s="38"/>
      <c r="C571" s="56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</row>
    <row r="572" ht="15.75" customHeight="1">
      <c r="A572" s="38"/>
      <c r="B572" s="38"/>
      <c r="C572" s="56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</row>
    <row r="573" ht="15.75" customHeight="1">
      <c r="A573" s="38"/>
      <c r="B573" s="38"/>
      <c r="C573" s="56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</row>
    <row r="574" ht="15.75" customHeight="1">
      <c r="A574" s="38"/>
      <c r="B574" s="38"/>
      <c r="C574" s="56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</row>
    <row r="575" ht="15.75" customHeight="1">
      <c r="A575" s="38"/>
      <c r="B575" s="38"/>
      <c r="C575" s="56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</row>
    <row r="576" ht="15.75" customHeight="1">
      <c r="A576" s="38"/>
      <c r="B576" s="38"/>
      <c r="C576" s="56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</row>
    <row r="577" ht="15.75" customHeight="1">
      <c r="A577" s="38"/>
      <c r="B577" s="38"/>
      <c r="C577" s="56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</row>
    <row r="578" ht="15.75" customHeight="1">
      <c r="A578" s="38"/>
      <c r="B578" s="38"/>
      <c r="C578" s="56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</row>
    <row r="579" ht="15.75" customHeight="1">
      <c r="A579" s="38"/>
      <c r="B579" s="38"/>
      <c r="C579" s="56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</row>
    <row r="580" ht="15.75" customHeight="1">
      <c r="A580" s="38"/>
      <c r="B580" s="38"/>
      <c r="C580" s="56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</row>
    <row r="581" ht="15.75" customHeight="1">
      <c r="A581" s="38"/>
      <c r="B581" s="38"/>
      <c r="C581" s="56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</row>
    <row r="582" ht="15.75" customHeight="1">
      <c r="A582" s="38"/>
      <c r="B582" s="38"/>
      <c r="C582" s="56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</row>
    <row r="583" ht="15.75" customHeight="1">
      <c r="A583" s="38"/>
      <c r="B583" s="38"/>
      <c r="C583" s="56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</row>
    <row r="584" ht="15.75" customHeight="1">
      <c r="A584" s="38"/>
      <c r="B584" s="38"/>
      <c r="C584" s="56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</row>
    <row r="585" ht="15.75" customHeight="1">
      <c r="A585" s="38"/>
      <c r="B585" s="38"/>
      <c r="C585" s="56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</row>
    <row r="586" ht="15.75" customHeight="1">
      <c r="A586" s="38"/>
      <c r="B586" s="38"/>
      <c r="C586" s="56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</row>
    <row r="587" ht="15.75" customHeight="1">
      <c r="A587" s="38"/>
      <c r="B587" s="38"/>
      <c r="C587" s="56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</row>
    <row r="588" ht="15.75" customHeight="1">
      <c r="A588" s="38"/>
      <c r="B588" s="38"/>
      <c r="C588" s="56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</row>
    <row r="589" ht="15.75" customHeight="1">
      <c r="A589" s="38"/>
      <c r="B589" s="38"/>
      <c r="C589" s="56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</row>
    <row r="590" ht="15.75" customHeight="1">
      <c r="A590" s="38"/>
      <c r="B590" s="38"/>
      <c r="C590" s="56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</row>
    <row r="591" ht="15.75" customHeight="1">
      <c r="A591" s="38"/>
      <c r="B591" s="38"/>
      <c r="C591" s="56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</row>
    <row r="592" ht="15.75" customHeight="1">
      <c r="A592" s="38"/>
      <c r="B592" s="38"/>
      <c r="C592" s="56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</row>
    <row r="593" ht="15.75" customHeight="1">
      <c r="A593" s="38"/>
      <c r="B593" s="38"/>
      <c r="C593" s="56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</row>
    <row r="594" ht="15.75" customHeight="1">
      <c r="A594" s="38"/>
      <c r="B594" s="38"/>
      <c r="C594" s="56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</row>
    <row r="595" ht="15.75" customHeight="1">
      <c r="A595" s="38"/>
      <c r="B595" s="38"/>
      <c r="C595" s="56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</row>
    <row r="596" ht="15.75" customHeight="1">
      <c r="A596" s="38"/>
      <c r="B596" s="38"/>
      <c r="C596" s="56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</row>
    <row r="597" ht="15.75" customHeight="1">
      <c r="A597" s="38"/>
      <c r="B597" s="38"/>
      <c r="C597" s="56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</row>
    <row r="598" ht="15.75" customHeight="1">
      <c r="A598" s="38"/>
      <c r="B598" s="38"/>
      <c r="C598" s="56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</row>
    <row r="599" ht="15.75" customHeight="1">
      <c r="A599" s="38"/>
      <c r="B599" s="38"/>
      <c r="C599" s="56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</row>
    <row r="600" ht="15.75" customHeight="1">
      <c r="A600" s="38"/>
      <c r="B600" s="38"/>
      <c r="C600" s="56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</row>
    <row r="601" ht="15.75" customHeight="1">
      <c r="A601" s="38"/>
      <c r="B601" s="38"/>
      <c r="C601" s="56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</row>
    <row r="602" ht="15.75" customHeight="1">
      <c r="A602" s="38"/>
      <c r="B602" s="38"/>
      <c r="C602" s="56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</row>
    <row r="603" ht="15.75" customHeight="1">
      <c r="A603" s="38"/>
      <c r="B603" s="38"/>
      <c r="C603" s="56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</row>
    <row r="604" ht="15.75" customHeight="1">
      <c r="A604" s="38"/>
      <c r="B604" s="38"/>
      <c r="C604" s="56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</row>
    <row r="605" ht="15.75" customHeight="1">
      <c r="A605" s="38"/>
      <c r="B605" s="38"/>
      <c r="C605" s="56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</row>
    <row r="606" ht="15.75" customHeight="1">
      <c r="A606" s="38"/>
      <c r="B606" s="38"/>
      <c r="C606" s="56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</row>
    <row r="607" ht="15.75" customHeight="1">
      <c r="A607" s="38"/>
      <c r="B607" s="38"/>
      <c r="C607" s="56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</row>
    <row r="608" ht="15.75" customHeight="1">
      <c r="A608" s="38"/>
      <c r="B608" s="38"/>
      <c r="C608" s="56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</row>
    <row r="609" ht="15.75" customHeight="1">
      <c r="A609" s="38"/>
      <c r="B609" s="38"/>
      <c r="C609" s="56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</row>
    <row r="610" ht="15.75" customHeight="1">
      <c r="A610" s="38"/>
      <c r="B610" s="38"/>
      <c r="C610" s="56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</row>
    <row r="611" ht="15.75" customHeight="1">
      <c r="A611" s="38"/>
      <c r="B611" s="38"/>
      <c r="C611" s="56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</row>
    <row r="612" ht="15.75" customHeight="1">
      <c r="A612" s="38"/>
      <c r="B612" s="38"/>
      <c r="C612" s="56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</row>
    <row r="613" ht="15.75" customHeight="1">
      <c r="A613" s="38"/>
      <c r="B613" s="38"/>
      <c r="C613" s="56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</row>
    <row r="614" ht="15.75" customHeight="1">
      <c r="A614" s="38"/>
      <c r="B614" s="38"/>
      <c r="C614" s="56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</row>
    <row r="615" ht="15.75" customHeight="1">
      <c r="A615" s="38"/>
      <c r="B615" s="38"/>
      <c r="C615" s="56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</row>
    <row r="616" ht="15.75" customHeight="1">
      <c r="A616" s="38"/>
      <c r="B616" s="38"/>
      <c r="C616" s="56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</row>
    <row r="617" ht="15.75" customHeight="1">
      <c r="A617" s="38"/>
      <c r="B617" s="38"/>
      <c r="C617" s="56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</row>
    <row r="618" ht="15.75" customHeight="1">
      <c r="A618" s="38"/>
      <c r="B618" s="38"/>
      <c r="C618" s="56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</row>
    <row r="619" ht="15.75" customHeight="1">
      <c r="A619" s="38"/>
      <c r="B619" s="38"/>
      <c r="C619" s="56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</row>
    <row r="620" ht="15.75" customHeight="1">
      <c r="A620" s="38"/>
      <c r="B620" s="38"/>
      <c r="C620" s="56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</row>
    <row r="621" ht="15.75" customHeight="1">
      <c r="A621" s="38"/>
      <c r="B621" s="38"/>
      <c r="C621" s="56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</row>
    <row r="622" ht="15.75" customHeight="1">
      <c r="A622" s="38"/>
      <c r="B622" s="38"/>
      <c r="C622" s="56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</row>
    <row r="623" ht="15.75" customHeight="1">
      <c r="A623" s="38"/>
      <c r="B623" s="38"/>
      <c r="C623" s="56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</row>
    <row r="624" ht="15.75" customHeight="1">
      <c r="A624" s="38"/>
      <c r="B624" s="38"/>
      <c r="C624" s="56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</row>
    <row r="625" ht="15.75" customHeight="1">
      <c r="A625" s="38"/>
      <c r="B625" s="38"/>
      <c r="C625" s="56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</row>
    <row r="626" ht="15.75" customHeight="1">
      <c r="A626" s="38"/>
      <c r="B626" s="38"/>
      <c r="C626" s="56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</row>
    <row r="627" ht="15.75" customHeight="1">
      <c r="A627" s="38"/>
      <c r="B627" s="38"/>
      <c r="C627" s="56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</row>
    <row r="628" ht="15.75" customHeight="1">
      <c r="A628" s="38"/>
      <c r="B628" s="38"/>
      <c r="C628" s="56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</row>
    <row r="629" ht="15.75" customHeight="1">
      <c r="A629" s="38"/>
      <c r="B629" s="38"/>
      <c r="C629" s="56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</row>
    <row r="630" ht="15.75" customHeight="1">
      <c r="A630" s="38"/>
      <c r="B630" s="38"/>
      <c r="C630" s="56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</row>
    <row r="631" ht="15.75" customHeight="1">
      <c r="A631" s="38"/>
      <c r="B631" s="38"/>
      <c r="C631" s="56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</row>
    <row r="632" ht="15.75" customHeight="1">
      <c r="A632" s="38"/>
      <c r="B632" s="38"/>
      <c r="C632" s="56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</row>
    <row r="633" ht="15.75" customHeight="1">
      <c r="A633" s="38"/>
      <c r="B633" s="38"/>
      <c r="C633" s="56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</row>
    <row r="634" ht="15.75" customHeight="1">
      <c r="A634" s="38"/>
      <c r="B634" s="38"/>
      <c r="C634" s="56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</row>
    <row r="635" ht="15.75" customHeight="1">
      <c r="A635" s="38"/>
      <c r="B635" s="38"/>
      <c r="C635" s="56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</row>
    <row r="636" ht="15.75" customHeight="1">
      <c r="A636" s="38"/>
      <c r="B636" s="38"/>
      <c r="C636" s="56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</row>
    <row r="637" ht="15.75" customHeight="1">
      <c r="A637" s="38"/>
      <c r="B637" s="38"/>
      <c r="C637" s="56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</row>
    <row r="638" ht="15.75" customHeight="1">
      <c r="A638" s="38"/>
      <c r="B638" s="38"/>
      <c r="C638" s="56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</row>
    <row r="639" ht="15.75" customHeight="1">
      <c r="A639" s="38"/>
      <c r="B639" s="38"/>
      <c r="C639" s="56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</row>
    <row r="640" ht="15.75" customHeight="1">
      <c r="A640" s="38"/>
      <c r="B640" s="38"/>
      <c r="C640" s="56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</row>
    <row r="641" ht="15.75" customHeight="1">
      <c r="A641" s="38"/>
      <c r="B641" s="38"/>
      <c r="C641" s="56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</row>
    <row r="642" ht="15.75" customHeight="1">
      <c r="A642" s="38"/>
      <c r="B642" s="38"/>
      <c r="C642" s="56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</row>
    <row r="643" ht="15.75" customHeight="1">
      <c r="A643" s="38"/>
      <c r="B643" s="38"/>
      <c r="C643" s="56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</row>
    <row r="644" ht="15.75" customHeight="1">
      <c r="A644" s="38"/>
      <c r="B644" s="38"/>
      <c r="C644" s="56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</row>
    <row r="645" ht="15.75" customHeight="1">
      <c r="A645" s="38"/>
      <c r="B645" s="38"/>
      <c r="C645" s="56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</row>
    <row r="646" ht="15.75" customHeight="1">
      <c r="A646" s="38"/>
      <c r="B646" s="38"/>
      <c r="C646" s="56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</row>
    <row r="647" ht="15.75" customHeight="1">
      <c r="A647" s="38"/>
      <c r="B647" s="38"/>
      <c r="C647" s="56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</row>
    <row r="648" ht="15.75" customHeight="1">
      <c r="A648" s="38"/>
      <c r="B648" s="38"/>
      <c r="C648" s="56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</row>
    <row r="649" ht="15.75" customHeight="1">
      <c r="A649" s="38"/>
      <c r="B649" s="38"/>
      <c r="C649" s="56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</row>
    <row r="650" ht="15.75" customHeight="1">
      <c r="A650" s="38"/>
      <c r="B650" s="38"/>
      <c r="C650" s="56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</row>
    <row r="651" ht="15.75" customHeight="1">
      <c r="A651" s="38"/>
      <c r="B651" s="38"/>
      <c r="C651" s="56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</row>
    <row r="652" ht="15.75" customHeight="1">
      <c r="A652" s="38"/>
      <c r="B652" s="38"/>
      <c r="C652" s="56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</row>
    <row r="653" ht="15.75" customHeight="1">
      <c r="A653" s="38"/>
      <c r="B653" s="38"/>
      <c r="C653" s="56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</row>
    <row r="654" ht="15.75" customHeight="1">
      <c r="A654" s="38"/>
      <c r="B654" s="38"/>
      <c r="C654" s="56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</row>
    <row r="655" ht="15.75" customHeight="1">
      <c r="A655" s="38"/>
      <c r="B655" s="38"/>
      <c r="C655" s="56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</row>
    <row r="656" ht="15.75" customHeight="1">
      <c r="A656" s="38"/>
      <c r="B656" s="38"/>
      <c r="C656" s="56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</row>
    <row r="657" ht="15.75" customHeight="1">
      <c r="A657" s="38"/>
      <c r="B657" s="38"/>
      <c r="C657" s="56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</row>
    <row r="658" ht="15.75" customHeight="1">
      <c r="A658" s="38"/>
      <c r="B658" s="38"/>
      <c r="C658" s="56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</row>
    <row r="659" ht="15.75" customHeight="1">
      <c r="A659" s="38"/>
      <c r="B659" s="38"/>
      <c r="C659" s="56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</row>
    <row r="660" ht="15.75" customHeight="1">
      <c r="A660" s="38"/>
      <c r="B660" s="38"/>
      <c r="C660" s="56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</row>
    <row r="661" ht="15.75" customHeight="1">
      <c r="A661" s="38"/>
      <c r="B661" s="38"/>
      <c r="C661" s="56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</row>
    <row r="662" ht="15.75" customHeight="1">
      <c r="A662" s="38"/>
      <c r="B662" s="38"/>
      <c r="C662" s="56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</row>
    <row r="663" ht="15.75" customHeight="1">
      <c r="A663" s="38"/>
      <c r="B663" s="38"/>
      <c r="C663" s="56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</row>
    <row r="664" ht="15.75" customHeight="1">
      <c r="A664" s="38"/>
      <c r="B664" s="38"/>
      <c r="C664" s="56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</row>
    <row r="665" ht="15.75" customHeight="1">
      <c r="A665" s="38"/>
      <c r="B665" s="38"/>
      <c r="C665" s="56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</row>
    <row r="666" ht="15.75" customHeight="1">
      <c r="A666" s="38"/>
      <c r="B666" s="38"/>
      <c r="C666" s="56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</row>
    <row r="667" ht="15.75" customHeight="1">
      <c r="A667" s="38"/>
      <c r="B667" s="38"/>
      <c r="C667" s="56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</row>
    <row r="668" ht="15.75" customHeight="1">
      <c r="A668" s="38"/>
      <c r="B668" s="38"/>
      <c r="C668" s="56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</row>
    <row r="669" ht="15.75" customHeight="1">
      <c r="A669" s="38"/>
      <c r="B669" s="38"/>
      <c r="C669" s="56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</row>
    <row r="670" ht="15.75" customHeight="1">
      <c r="A670" s="38"/>
      <c r="B670" s="38"/>
      <c r="C670" s="56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</row>
    <row r="671" ht="15.75" customHeight="1">
      <c r="A671" s="38"/>
      <c r="B671" s="38"/>
      <c r="C671" s="56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</row>
    <row r="672" ht="15.75" customHeight="1">
      <c r="A672" s="38"/>
      <c r="B672" s="38"/>
      <c r="C672" s="56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</row>
    <row r="673" ht="15.75" customHeight="1">
      <c r="A673" s="38"/>
      <c r="B673" s="38"/>
      <c r="C673" s="56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</row>
    <row r="674" ht="15.75" customHeight="1">
      <c r="A674" s="38"/>
      <c r="B674" s="38"/>
      <c r="C674" s="56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</row>
    <row r="675" ht="15.75" customHeight="1">
      <c r="A675" s="38"/>
      <c r="B675" s="38"/>
      <c r="C675" s="56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</row>
    <row r="676" ht="15.75" customHeight="1">
      <c r="A676" s="38"/>
      <c r="B676" s="38"/>
      <c r="C676" s="56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</row>
    <row r="677" ht="15.75" customHeight="1">
      <c r="A677" s="38"/>
      <c r="B677" s="38"/>
      <c r="C677" s="56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</row>
    <row r="678" ht="15.75" customHeight="1">
      <c r="A678" s="38"/>
      <c r="B678" s="38"/>
      <c r="C678" s="56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</row>
    <row r="679" ht="15.75" customHeight="1">
      <c r="A679" s="38"/>
      <c r="B679" s="38"/>
      <c r="C679" s="56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</row>
    <row r="680" ht="15.75" customHeight="1">
      <c r="A680" s="38"/>
      <c r="B680" s="38"/>
      <c r="C680" s="56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</row>
    <row r="681" ht="15.75" customHeight="1">
      <c r="A681" s="38"/>
      <c r="B681" s="38"/>
      <c r="C681" s="56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</row>
    <row r="682" ht="15.75" customHeight="1">
      <c r="A682" s="38"/>
      <c r="B682" s="38"/>
      <c r="C682" s="56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</row>
    <row r="683" ht="15.75" customHeight="1">
      <c r="A683" s="38"/>
      <c r="B683" s="38"/>
      <c r="C683" s="56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</row>
    <row r="684" ht="15.75" customHeight="1">
      <c r="A684" s="38"/>
      <c r="B684" s="38"/>
      <c r="C684" s="56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</row>
    <row r="685" ht="15.75" customHeight="1">
      <c r="A685" s="38"/>
      <c r="B685" s="38"/>
      <c r="C685" s="56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</row>
    <row r="686" ht="15.75" customHeight="1">
      <c r="A686" s="38"/>
      <c r="B686" s="38"/>
      <c r="C686" s="56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</row>
    <row r="687" ht="15.75" customHeight="1">
      <c r="A687" s="38"/>
      <c r="B687" s="38"/>
      <c r="C687" s="56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</row>
    <row r="688" ht="15.75" customHeight="1">
      <c r="A688" s="38"/>
      <c r="B688" s="38"/>
      <c r="C688" s="56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</row>
    <row r="689" ht="15.75" customHeight="1">
      <c r="A689" s="38"/>
      <c r="B689" s="38"/>
      <c r="C689" s="56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</row>
    <row r="690" ht="15.75" customHeight="1">
      <c r="A690" s="38"/>
      <c r="B690" s="38"/>
      <c r="C690" s="56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</row>
    <row r="691" ht="15.75" customHeight="1">
      <c r="A691" s="38"/>
      <c r="B691" s="38"/>
      <c r="C691" s="56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</row>
    <row r="692" ht="15.75" customHeight="1">
      <c r="A692" s="38"/>
      <c r="B692" s="38"/>
      <c r="C692" s="56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</row>
    <row r="693" ht="15.75" customHeight="1">
      <c r="A693" s="38"/>
      <c r="B693" s="38"/>
      <c r="C693" s="56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</row>
    <row r="694" ht="15.75" customHeight="1">
      <c r="A694" s="38"/>
      <c r="B694" s="38"/>
      <c r="C694" s="56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</row>
    <row r="695" ht="15.75" customHeight="1">
      <c r="A695" s="38"/>
      <c r="B695" s="38"/>
      <c r="C695" s="56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</row>
    <row r="696" ht="15.75" customHeight="1">
      <c r="A696" s="38"/>
      <c r="B696" s="38"/>
      <c r="C696" s="56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</row>
    <row r="697" ht="15.75" customHeight="1">
      <c r="A697" s="38"/>
      <c r="B697" s="38"/>
      <c r="C697" s="56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</row>
    <row r="698" ht="15.75" customHeight="1">
      <c r="A698" s="38"/>
      <c r="B698" s="38"/>
      <c r="C698" s="56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</row>
    <row r="699" ht="15.75" customHeight="1">
      <c r="A699" s="38"/>
      <c r="B699" s="38"/>
      <c r="C699" s="56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</row>
    <row r="700" ht="15.75" customHeight="1">
      <c r="A700" s="38"/>
      <c r="B700" s="38"/>
      <c r="C700" s="56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</row>
    <row r="701" ht="15.75" customHeight="1">
      <c r="A701" s="38"/>
      <c r="B701" s="38"/>
      <c r="C701" s="56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</row>
    <row r="702" ht="15.75" customHeight="1">
      <c r="A702" s="38"/>
      <c r="B702" s="38"/>
      <c r="C702" s="56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</row>
    <row r="703" ht="15.75" customHeight="1">
      <c r="A703" s="38"/>
      <c r="B703" s="38"/>
      <c r="C703" s="56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</row>
    <row r="704" ht="15.75" customHeight="1">
      <c r="A704" s="38"/>
      <c r="B704" s="38"/>
      <c r="C704" s="56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</row>
    <row r="705" ht="15.75" customHeight="1">
      <c r="A705" s="38"/>
      <c r="B705" s="38"/>
      <c r="C705" s="56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</row>
    <row r="706" ht="15.75" customHeight="1">
      <c r="A706" s="38"/>
      <c r="B706" s="38"/>
      <c r="C706" s="56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</row>
    <row r="707" ht="15.75" customHeight="1">
      <c r="A707" s="38"/>
      <c r="B707" s="38"/>
      <c r="C707" s="56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</row>
    <row r="708" ht="15.75" customHeight="1">
      <c r="A708" s="38"/>
      <c r="B708" s="38"/>
      <c r="C708" s="56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</row>
    <row r="709" ht="15.75" customHeight="1">
      <c r="A709" s="38"/>
      <c r="B709" s="38"/>
      <c r="C709" s="56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</row>
    <row r="710" ht="15.75" customHeight="1">
      <c r="A710" s="38"/>
      <c r="B710" s="38"/>
      <c r="C710" s="56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</row>
    <row r="711" ht="15.75" customHeight="1">
      <c r="A711" s="38"/>
      <c r="B711" s="38"/>
      <c r="C711" s="56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</row>
    <row r="712" ht="15.75" customHeight="1">
      <c r="A712" s="38"/>
      <c r="B712" s="38"/>
      <c r="C712" s="56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</row>
    <row r="713" ht="15.75" customHeight="1">
      <c r="A713" s="38"/>
      <c r="B713" s="38"/>
      <c r="C713" s="56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</row>
    <row r="714" ht="15.75" customHeight="1">
      <c r="A714" s="38"/>
      <c r="B714" s="38"/>
      <c r="C714" s="56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</row>
    <row r="715" ht="15.75" customHeight="1">
      <c r="A715" s="38"/>
      <c r="B715" s="38"/>
      <c r="C715" s="56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</row>
    <row r="716" ht="15.75" customHeight="1">
      <c r="A716" s="38"/>
      <c r="B716" s="38"/>
      <c r="C716" s="56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</row>
    <row r="717" ht="15.75" customHeight="1">
      <c r="A717" s="38"/>
      <c r="B717" s="38"/>
      <c r="C717" s="56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</row>
    <row r="718" ht="15.75" customHeight="1">
      <c r="A718" s="38"/>
      <c r="B718" s="38"/>
      <c r="C718" s="56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</row>
    <row r="719" ht="15.75" customHeight="1">
      <c r="A719" s="38"/>
      <c r="B719" s="38"/>
      <c r="C719" s="56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</row>
    <row r="720" ht="15.75" customHeight="1">
      <c r="A720" s="38"/>
      <c r="B720" s="38"/>
      <c r="C720" s="56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</row>
    <row r="721" ht="15.75" customHeight="1">
      <c r="A721" s="38"/>
      <c r="B721" s="38"/>
      <c r="C721" s="56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</row>
    <row r="722" ht="15.75" customHeight="1">
      <c r="A722" s="38"/>
      <c r="B722" s="38"/>
      <c r="C722" s="56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</row>
    <row r="723" ht="15.75" customHeight="1">
      <c r="A723" s="38"/>
      <c r="B723" s="38"/>
      <c r="C723" s="56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</row>
    <row r="724" ht="15.75" customHeight="1">
      <c r="A724" s="38"/>
      <c r="B724" s="38"/>
      <c r="C724" s="56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</row>
    <row r="725" ht="15.75" customHeight="1">
      <c r="A725" s="38"/>
      <c r="B725" s="38"/>
      <c r="C725" s="56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</row>
    <row r="726" ht="15.75" customHeight="1">
      <c r="A726" s="38"/>
      <c r="B726" s="38"/>
      <c r="C726" s="56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</row>
    <row r="727" ht="15.75" customHeight="1">
      <c r="A727" s="38"/>
      <c r="B727" s="38"/>
      <c r="C727" s="56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</row>
    <row r="728" ht="15.75" customHeight="1">
      <c r="A728" s="38"/>
      <c r="B728" s="38"/>
      <c r="C728" s="56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</row>
    <row r="729" ht="15.75" customHeight="1">
      <c r="A729" s="38"/>
      <c r="B729" s="38"/>
      <c r="C729" s="56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</row>
    <row r="730" ht="15.75" customHeight="1">
      <c r="A730" s="38"/>
      <c r="B730" s="38"/>
      <c r="C730" s="56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</row>
    <row r="731" ht="15.75" customHeight="1">
      <c r="A731" s="38"/>
      <c r="B731" s="38"/>
      <c r="C731" s="56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</row>
    <row r="732" ht="15.75" customHeight="1">
      <c r="A732" s="38"/>
      <c r="B732" s="38"/>
      <c r="C732" s="56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</row>
    <row r="733" ht="15.75" customHeight="1">
      <c r="A733" s="38"/>
      <c r="B733" s="38"/>
      <c r="C733" s="56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</row>
    <row r="734" ht="15.75" customHeight="1">
      <c r="A734" s="38"/>
      <c r="B734" s="38"/>
      <c r="C734" s="56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</row>
    <row r="735" ht="15.75" customHeight="1">
      <c r="A735" s="38"/>
      <c r="B735" s="38"/>
      <c r="C735" s="56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</row>
    <row r="736" ht="15.75" customHeight="1">
      <c r="A736" s="38"/>
      <c r="B736" s="38"/>
      <c r="C736" s="56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</row>
    <row r="737" ht="15.75" customHeight="1">
      <c r="A737" s="38"/>
      <c r="B737" s="38"/>
      <c r="C737" s="56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</row>
    <row r="738" ht="15.75" customHeight="1">
      <c r="A738" s="38"/>
      <c r="B738" s="38"/>
      <c r="C738" s="56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</row>
    <row r="739" ht="15.75" customHeight="1">
      <c r="A739" s="38"/>
      <c r="B739" s="38"/>
      <c r="C739" s="56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</row>
    <row r="740" ht="15.75" customHeight="1">
      <c r="A740" s="38"/>
      <c r="B740" s="38"/>
      <c r="C740" s="56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</row>
    <row r="741" ht="15.75" customHeight="1">
      <c r="A741" s="38"/>
      <c r="B741" s="38"/>
      <c r="C741" s="56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</row>
    <row r="742" ht="15.75" customHeight="1">
      <c r="A742" s="38"/>
      <c r="B742" s="38"/>
      <c r="C742" s="56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</row>
    <row r="743" ht="15.75" customHeight="1">
      <c r="A743" s="38"/>
      <c r="B743" s="38"/>
      <c r="C743" s="56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</row>
    <row r="744" ht="15.75" customHeight="1">
      <c r="A744" s="38"/>
      <c r="B744" s="38"/>
      <c r="C744" s="56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</row>
    <row r="745" ht="15.75" customHeight="1">
      <c r="A745" s="38"/>
      <c r="B745" s="38"/>
      <c r="C745" s="56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</row>
    <row r="746" ht="15.75" customHeight="1">
      <c r="A746" s="38"/>
      <c r="B746" s="38"/>
      <c r="C746" s="56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</row>
    <row r="747" ht="15.75" customHeight="1">
      <c r="A747" s="38"/>
      <c r="B747" s="38"/>
      <c r="C747" s="56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</row>
    <row r="748" ht="15.75" customHeight="1">
      <c r="A748" s="38"/>
      <c r="B748" s="38"/>
      <c r="C748" s="56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</row>
    <row r="749" ht="15.75" customHeight="1">
      <c r="A749" s="38"/>
      <c r="B749" s="38"/>
      <c r="C749" s="56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</row>
    <row r="750" ht="15.75" customHeight="1">
      <c r="A750" s="38"/>
      <c r="B750" s="38"/>
      <c r="C750" s="56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</row>
    <row r="751" ht="15.75" customHeight="1">
      <c r="A751" s="38"/>
      <c r="B751" s="38"/>
      <c r="C751" s="56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</row>
    <row r="752" ht="15.75" customHeight="1">
      <c r="A752" s="38"/>
      <c r="B752" s="38"/>
      <c r="C752" s="56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</row>
    <row r="753" ht="15.75" customHeight="1">
      <c r="A753" s="38"/>
      <c r="B753" s="38"/>
      <c r="C753" s="56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</row>
    <row r="754" ht="15.75" customHeight="1">
      <c r="A754" s="38"/>
      <c r="B754" s="38"/>
      <c r="C754" s="56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</row>
    <row r="755" ht="15.75" customHeight="1">
      <c r="A755" s="38"/>
      <c r="B755" s="38"/>
      <c r="C755" s="56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</row>
    <row r="756" ht="15.75" customHeight="1">
      <c r="A756" s="38"/>
      <c r="B756" s="38"/>
      <c r="C756" s="56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</row>
    <row r="757" ht="15.75" customHeight="1">
      <c r="A757" s="38"/>
      <c r="B757" s="38"/>
      <c r="C757" s="56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</row>
    <row r="758" ht="15.75" customHeight="1">
      <c r="A758" s="38"/>
      <c r="B758" s="38"/>
      <c r="C758" s="56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</row>
    <row r="759" ht="15.75" customHeight="1">
      <c r="A759" s="38"/>
      <c r="B759" s="38"/>
      <c r="C759" s="56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</row>
    <row r="760" ht="15.75" customHeight="1">
      <c r="A760" s="38"/>
      <c r="B760" s="38"/>
      <c r="C760" s="56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</row>
    <row r="761" ht="15.75" customHeight="1">
      <c r="A761" s="38"/>
      <c r="B761" s="38"/>
      <c r="C761" s="56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</row>
    <row r="762" ht="15.75" customHeight="1">
      <c r="A762" s="38"/>
      <c r="B762" s="38"/>
      <c r="C762" s="56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</row>
    <row r="763" ht="15.75" customHeight="1">
      <c r="A763" s="38"/>
      <c r="B763" s="38"/>
      <c r="C763" s="56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</row>
    <row r="764" ht="15.75" customHeight="1">
      <c r="A764" s="38"/>
      <c r="B764" s="38"/>
      <c r="C764" s="56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</row>
    <row r="765" ht="15.75" customHeight="1">
      <c r="A765" s="38"/>
      <c r="B765" s="38"/>
      <c r="C765" s="56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</row>
    <row r="766" ht="15.75" customHeight="1">
      <c r="A766" s="38"/>
      <c r="B766" s="38"/>
      <c r="C766" s="56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</row>
    <row r="767" ht="15.75" customHeight="1">
      <c r="A767" s="38"/>
      <c r="B767" s="38"/>
      <c r="C767" s="56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</row>
    <row r="768" ht="15.75" customHeight="1">
      <c r="A768" s="38"/>
      <c r="B768" s="38"/>
      <c r="C768" s="56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</row>
    <row r="769" ht="15.75" customHeight="1">
      <c r="A769" s="38"/>
      <c r="B769" s="38"/>
      <c r="C769" s="56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</row>
    <row r="770" ht="15.75" customHeight="1">
      <c r="A770" s="38"/>
      <c r="B770" s="38"/>
      <c r="C770" s="56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</row>
    <row r="771" ht="15.75" customHeight="1">
      <c r="A771" s="38"/>
      <c r="B771" s="38"/>
      <c r="C771" s="56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</row>
    <row r="772" ht="15.75" customHeight="1">
      <c r="A772" s="38"/>
      <c r="B772" s="38"/>
      <c r="C772" s="56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</row>
    <row r="773" ht="15.75" customHeight="1">
      <c r="A773" s="38"/>
      <c r="B773" s="38"/>
      <c r="C773" s="56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</row>
    <row r="774" ht="15.75" customHeight="1">
      <c r="A774" s="38"/>
      <c r="B774" s="38"/>
      <c r="C774" s="56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</row>
    <row r="775" ht="15.75" customHeight="1">
      <c r="A775" s="38"/>
      <c r="B775" s="38"/>
      <c r="C775" s="56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</row>
    <row r="776" ht="15.75" customHeight="1">
      <c r="A776" s="38"/>
      <c r="B776" s="38"/>
      <c r="C776" s="56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</row>
    <row r="777" ht="15.75" customHeight="1">
      <c r="A777" s="38"/>
      <c r="B777" s="38"/>
      <c r="C777" s="56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</row>
    <row r="778" ht="15.75" customHeight="1">
      <c r="A778" s="38"/>
      <c r="B778" s="38"/>
      <c r="C778" s="56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</row>
    <row r="779" ht="15.75" customHeight="1">
      <c r="A779" s="38"/>
      <c r="B779" s="38"/>
      <c r="C779" s="56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</row>
    <row r="780" ht="15.75" customHeight="1">
      <c r="A780" s="38"/>
      <c r="B780" s="38"/>
      <c r="C780" s="56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</row>
    <row r="781" ht="15.75" customHeight="1">
      <c r="A781" s="38"/>
      <c r="B781" s="38"/>
      <c r="C781" s="56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</row>
    <row r="782" ht="15.75" customHeight="1">
      <c r="A782" s="38"/>
      <c r="B782" s="38"/>
      <c r="C782" s="56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</row>
    <row r="783" ht="15.75" customHeight="1">
      <c r="A783" s="38"/>
      <c r="B783" s="38"/>
      <c r="C783" s="56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</row>
    <row r="784" ht="15.75" customHeight="1">
      <c r="A784" s="38"/>
      <c r="B784" s="38"/>
      <c r="C784" s="56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</row>
    <row r="785" ht="15.75" customHeight="1">
      <c r="A785" s="38"/>
      <c r="B785" s="38"/>
      <c r="C785" s="56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</row>
    <row r="786" ht="15.75" customHeight="1">
      <c r="A786" s="38"/>
      <c r="B786" s="38"/>
      <c r="C786" s="56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</row>
    <row r="787" ht="15.75" customHeight="1">
      <c r="A787" s="38"/>
      <c r="B787" s="38"/>
      <c r="C787" s="56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</row>
    <row r="788" ht="15.75" customHeight="1">
      <c r="A788" s="38"/>
      <c r="B788" s="38"/>
      <c r="C788" s="56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</row>
    <row r="789" ht="15.75" customHeight="1">
      <c r="A789" s="38"/>
      <c r="B789" s="38"/>
      <c r="C789" s="56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</row>
    <row r="790" ht="15.75" customHeight="1">
      <c r="A790" s="38"/>
      <c r="B790" s="38"/>
      <c r="C790" s="56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</row>
    <row r="791" ht="15.75" customHeight="1">
      <c r="A791" s="38"/>
      <c r="B791" s="38"/>
      <c r="C791" s="56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</row>
    <row r="792" ht="15.75" customHeight="1">
      <c r="A792" s="38"/>
      <c r="B792" s="38"/>
      <c r="C792" s="56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</row>
    <row r="793" ht="15.75" customHeight="1">
      <c r="A793" s="38"/>
      <c r="B793" s="38"/>
      <c r="C793" s="56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</row>
    <row r="794" ht="15.75" customHeight="1">
      <c r="A794" s="38"/>
      <c r="B794" s="38"/>
      <c r="C794" s="56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</row>
    <row r="795" ht="15.75" customHeight="1">
      <c r="A795" s="38"/>
      <c r="B795" s="38"/>
      <c r="C795" s="56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</row>
    <row r="796" ht="15.75" customHeight="1">
      <c r="A796" s="38"/>
      <c r="B796" s="38"/>
      <c r="C796" s="56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</row>
    <row r="797" ht="15.75" customHeight="1">
      <c r="A797" s="38"/>
      <c r="B797" s="38"/>
      <c r="C797" s="56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</row>
    <row r="798" ht="15.75" customHeight="1">
      <c r="A798" s="38"/>
      <c r="B798" s="38"/>
      <c r="C798" s="56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</row>
    <row r="799" ht="15.75" customHeight="1">
      <c r="A799" s="38"/>
      <c r="B799" s="38"/>
      <c r="C799" s="56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</row>
    <row r="800" ht="15.75" customHeight="1">
      <c r="A800" s="38"/>
      <c r="B800" s="38"/>
      <c r="C800" s="56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</row>
    <row r="801" ht="15.75" customHeight="1">
      <c r="A801" s="38"/>
      <c r="B801" s="38"/>
      <c r="C801" s="56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</row>
    <row r="802" ht="15.75" customHeight="1">
      <c r="A802" s="38"/>
      <c r="B802" s="38"/>
      <c r="C802" s="56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</row>
    <row r="803" ht="15.75" customHeight="1">
      <c r="A803" s="38"/>
      <c r="B803" s="38"/>
      <c r="C803" s="56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</row>
    <row r="804" ht="15.75" customHeight="1">
      <c r="A804" s="38"/>
      <c r="B804" s="38"/>
      <c r="C804" s="56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</row>
    <row r="805" ht="15.75" customHeight="1">
      <c r="A805" s="38"/>
      <c r="B805" s="38"/>
      <c r="C805" s="56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</row>
    <row r="806" ht="15.75" customHeight="1">
      <c r="A806" s="38"/>
      <c r="B806" s="38"/>
      <c r="C806" s="56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</row>
    <row r="807" ht="15.75" customHeight="1">
      <c r="A807" s="38"/>
      <c r="B807" s="38"/>
      <c r="C807" s="56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</row>
    <row r="808" ht="15.75" customHeight="1">
      <c r="A808" s="38"/>
      <c r="B808" s="38"/>
      <c r="C808" s="56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</row>
    <row r="809" ht="15.75" customHeight="1">
      <c r="A809" s="38"/>
      <c r="B809" s="38"/>
      <c r="C809" s="56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</row>
    <row r="810" ht="15.75" customHeight="1">
      <c r="A810" s="38"/>
      <c r="B810" s="38"/>
      <c r="C810" s="56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</row>
    <row r="811" ht="15.75" customHeight="1">
      <c r="A811" s="38"/>
      <c r="B811" s="38"/>
      <c r="C811" s="56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</row>
    <row r="812" ht="15.75" customHeight="1">
      <c r="A812" s="38"/>
      <c r="B812" s="38"/>
      <c r="C812" s="56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</row>
    <row r="813" ht="15.75" customHeight="1">
      <c r="A813" s="38"/>
      <c r="B813" s="38"/>
      <c r="C813" s="56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</row>
    <row r="814" ht="15.75" customHeight="1">
      <c r="A814" s="38"/>
      <c r="B814" s="38"/>
      <c r="C814" s="56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</row>
    <row r="815" ht="15.75" customHeight="1">
      <c r="A815" s="38"/>
      <c r="B815" s="38"/>
      <c r="C815" s="56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</row>
    <row r="816" ht="15.75" customHeight="1">
      <c r="A816" s="38"/>
      <c r="B816" s="38"/>
      <c r="C816" s="56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</row>
    <row r="817" ht="15.75" customHeight="1">
      <c r="A817" s="38"/>
      <c r="B817" s="38"/>
      <c r="C817" s="56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</row>
    <row r="818" ht="15.75" customHeight="1">
      <c r="A818" s="38"/>
      <c r="B818" s="38"/>
      <c r="C818" s="56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</row>
    <row r="819" ht="15.75" customHeight="1">
      <c r="A819" s="38"/>
      <c r="B819" s="38"/>
      <c r="C819" s="56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</row>
    <row r="820" ht="15.75" customHeight="1">
      <c r="A820" s="38"/>
      <c r="B820" s="38"/>
      <c r="C820" s="56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</row>
    <row r="821" ht="15.75" customHeight="1">
      <c r="A821" s="38"/>
      <c r="B821" s="38"/>
      <c r="C821" s="56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</row>
    <row r="822" ht="15.75" customHeight="1">
      <c r="A822" s="38"/>
      <c r="B822" s="38"/>
      <c r="C822" s="56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</row>
    <row r="823" ht="15.75" customHeight="1">
      <c r="A823" s="38"/>
      <c r="B823" s="38"/>
      <c r="C823" s="56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</row>
    <row r="824" ht="15.75" customHeight="1">
      <c r="A824" s="38"/>
      <c r="B824" s="38"/>
      <c r="C824" s="56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</row>
    <row r="825" ht="15.75" customHeight="1">
      <c r="A825" s="38"/>
      <c r="B825" s="38"/>
      <c r="C825" s="56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</row>
    <row r="826" ht="15.75" customHeight="1">
      <c r="A826" s="38"/>
      <c r="B826" s="38"/>
      <c r="C826" s="56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</row>
    <row r="827" ht="15.75" customHeight="1">
      <c r="A827" s="38"/>
      <c r="B827" s="38"/>
      <c r="C827" s="56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</row>
    <row r="828" ht="15.75" customHeight="1">
      <c r="A828" s="38"/>
      <c r="B828" s="38"/>
      <c r="C828" s="56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</row>
    <row r="829" ht="15.75" customHeight="1">
      <c r="A829" s="38"/>
      <c r="B829" s="38"/>
      <c r="C829" s="56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</row>
    <row r="830" ht="15.75" customHeight="1">
      <c r="A830" s="38"/>
      <c r="B830" s="38"/>
      <c r="C830" s="56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</row>
    <row r="831" ht="15.75" customHeight="1">
      <c r="A831" s="38"/>
      <c r="B831" s="38"/>
      <c r="C831" s="56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</row>
    <row r="832" ht="15.75" customHeight="1">
      <c r="A832" s="38"/>
      <c r="B832" s="38"/>
      <c r="C832" s="56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</row>
    <row r="833" ht="15.75" customHeight="1">
      <c r="A833" s="38"/>
      <c r="B833" s="38"/>
      <c r="C833" s="56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</row>
    <row r="834" ht="15.75" customHeight="1">
      <c r="A834" s="38"/>
      <c r="B834" s="38"/>
      <c r="C834" s="56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</row>
    <row r="835" ht="15.75" customHeight="1">
      <c r="A835" s="38"/>
      <c r="B835" s="38"/>
      <c r="C835" s="56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</row>
    <row r="836" ht="15.75" customHeight="1">
      <c r="A836" s="38"/>
      <c r="B836" s="38"/>
      <c r="C836" s="56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</row>
    <row r="837" ht="15.75" customHeight="1">
      <c r="A837" s="38"/>
      <c r="B837" s="38"/>
      <c r="C837" s="56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</row>
    <row r="838" ht="15.75" customHeight="1">
      <c r="A838" s="38"/>
      <c r="B838" s="38"/>
      <c r="C838" s="56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</row>
    <row r="839" ht="15.75" customHeight="1">
      <c r="A839" s="38"/>
      <c r="B839" s="38"/>
      <c r="C839" s="56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</row>
    <row r="840" ht="15.75" customHeight="1">
      <c r="A840" s="38"/>
      <c r="B840" s="38"/>
      <c r="C840" s="56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</row>
    <row r="841" ht="15.75" customHeight="1">
      <c r="A841" s="38"/>
      <c r="B841" s="38"/>
      <c r="C841" s="56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</row>
    <row r="842" ht="15.75" customHeight="1">
      <c r="A842" s="38"/>
      <c r="B842" s="38"/>
      <c r="C842" s="56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</row>
    <row r="843" ht="15.75" customHeight="1">
      <c r="A843" s="38"/>
      <c r="B843" s="38"/>
      <c r="C843" s="56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</row>
    <row r="844" ht="15.75" customHeight="1">
      <c r="A844" s="38"/>
      <c r="B844" s="38"/>
      <c r="C844" s="56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</row>
    <row r="845" ht="15.75" customHeight="1">
      <c r="A845" s="38"/>
      <c r="B845" s="38"/>
      <c r="C845" s="56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</row>
    <row r="846" ht="15.75" customHeight="1">
      <c r="A846" s="38"/>
      <c r="B846" s="38"/>
      <c r="C846" s="56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</row>
    <row r="847" ht="15.75" customHeight="1">
      <c r="A847" s="38"/>
      <c r="B847" s="38"/>
      <c r="C847" s="56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</row>
    <row r="848" ht="15.75" customHeight="1">
      <c r="A848" s="38"/>
      <c r="B848" s="38"/>
      <c r="C848" s="56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</row>
    <row r="849" ht="15.75" customHeight="1">
      <c r="A849" s="38"/>
      <c r="B849" s="38"/>
      <c r="C849" s="56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</row>
    <row r="850" ht="15.75" customHeight="1">
      <c r="A850" s="38"/>
      <c r="B850" s="38"/>
      <c r="C850" s="56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</row>
    <row r="851" ht="15.75" customHeight="1">
      <c r="A851" s="38"/>
      <c r="B851" s="38"/>
      <c r="C851" s="56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</row>
    <row r="852" ht="15.75" customHeight="1">
      <c r="A852" s="38"/>
      <c r="B852" s="38"/>
      <c r="C852" s="56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</row>
    <row r="853" ht="15.75" customHeight="1">
      <c r="A853" s="38"/>
      <c r="B853" s="38"/>
      <c r="C853" s="56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</row>
    <row r="854" ht="15.75" customHeight="1">
      <c r="A854" s="38"/>
      <c r="B854" s="38"/>
      <c r="C854" s="56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</row>
    <row r="855" ht="15.75" customHeight="1">
      <c r="A855" s="38"/>
      <c r="B855" s="38"/>
      <c r="C855" s="56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</row>
    <row r="856" ht="15.75" customHeight="1">
      <c r="A856" s="38"/>
      <c r="B856" s="38"/>
      <c r="C856" s="56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</row>
    <row r="857" ht="15.75" customHeight="1">
      <c r="A857" s="38"/>
      <c r="B857" s="38"/>
      <c r="C857" s="56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</row>
    <row r="858" ht="15.75" customHeight="1">
      <c r="A858" s="38"/>
      <c r="B858" s="38"/>
      <c r="C858" s="56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</row>
    <row r="859" ht="15.75" customHeight="1">
      <c r="A859" s="38"/>
      <c r="B859" s="38"/>
      <c r="C859" s="56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</row>
    <row r="860" ht="15.75" customHeight="1">
      <c r="A860" s="38"/>
      <c r="B860" s="38"/>
      <c r="C860" s="56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</row>
    <row r="861" ht="15.75" customHeight="1">
      <c r="A861" s="38"/>
      <c r="B861" s="38"/>
      <c r="C861" s="56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</row>
    <row r="862" ht="15.75" customHeight="1">
      <c r="A862" s="38"/>
      <c r="B862" s="38"/>
      <c r="C862" s="56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</row>
    <row r="863" ht="15.75" customHeight="1">
      <c r="A863" s="38"/>
      <c r="B863" s="38"/>
      <c r="C863" s="56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</row>
    <row r="864" ht="15.75" customHeight="1">
      <c r="A864" s="38"/>
      <c r="B864" s="38"/>
      <c r="C864" s="56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</row>
    <row r="865" ht="15.75" customHeight="1">
      <c r="A865" s="38"/>
      <c r="B865" s="38"/>
      <c r="C865" s="56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</row>
    <row r="866" ht="15.75" customHeight="1">
      <c r="A866" s="38"/>
      <c r="B866" s="38"/>
      <c r="C866" s="56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</row>
    <row r="867" ht="15.75" customHeight="1">
      <c r="A867" s="38"/>
      <c r="B867" s="38"/>
      <c r="C867" s="56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</row>
    <row r="868" ht="15.75" customHeight="1">
      <c r="A868" s="38"/>
      <c r="B868" s="38"/>
      <c r="C868" s="56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</row>
    <row r="869" ht="15.75" customHeight="1">
      <c r="A869" s="38"/>
      <c r="B869" s="38"/>
      <c r="C869" s="56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</row>
    <row r="870" ht="15.75" customHeight="1">
      <c r="A870" s="38"/>
      <c r="B870" s="38"/>
      <c r="C870" s="56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</row>
    <row r="871" ht="15.75" customHeight="1">
      <c r="A871" s="38"/>
      <c r="B871" s="38"/>
      <c r="C871" s="56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</row>
    <row r="872" ht="15.75" customHeight="1">
      <c r="A872" s="38"/>
      <c r="B872" s="38"/>
      <c r="C872" s="56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</row>
    <row r="873" ht="15.75" customHeight="1">
      <c r="A873" s="38"/>
      <c r="B873" s="38"/>
      <c r="C873" s="56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</row>
    <row r="874" ht="15.75" customHeight="1">
      <c r="A874" s="38"/>
      <c r="B874" s="38"/>
      <c r="C874" s="56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</row>
    <row r="875" ht="15.75" customHeight="1">
      <c r="A875" s="38"/>
      <c r="B875" s="38"/>
      <c r="C875" s="56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</row>
    <row r="876" ht="15.75" customHeight="1">
      <c r="A876" s="38"/>
      <c r="B876" s="38"/>
      <c r="C876" s="56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</row>
    <row r="877" ht="15.75" customHeight="1">
      <c r="A877" s="38"/>
      <c r="B877" s="38"/>
      <c r="C877" s="56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</row>
    <row r="878" ht="15.75" customHeight="1">
      <c r="A878" s="38"/>
      <c r="B878" s="38"/>
      <c r="C878" s="56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</row>
    <row r="879" ht="15.75" customHeight="1">
      <c r="A879" s="38"/>
      <c r="B879" s="38"/>
      <c r="C879" s="56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</row>
    <row r="880" ht="15.75" customHeight="1">
      <c r="A880" s="38"/>
      <c r="B880" s="38"/>
      <c r="C880" s="56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</row>
    <row r="881" ht="15.75" customHeight="1">
      <c r="A881" s="38"/>
      <c r="B881" s="38"/>
      <c r="C881" s="56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</row>
    <row r="882" ht="15.75" customHeight="1">
      <c r="A882" s="38"/>
      <c r="B882" s="38"/>
      <c r="C882" s="56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</row>
    <row r="883" ht="15.75" customHeight="1">
      <c r="A883" s="38"/>
      <c r="B883" s="38"/>
      <c r="C883" s="56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</row>
    <row r="884" ht="15.75" customHeight="1">
      <c r="A884" s="38"/>
      <c r="B884" s="38"/>
      <c r="C884" s="56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</row>
    <row r="885" ht="15.75" customHeight="1">
      <c r="A885" s="38"/>
      <c r="B885" s="38"/>
      <c r="C885" s="56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</row>
    <row r="886" ht="15.75" customHeight="1">
      <c r="A886" s="38"/>
      <c r="B886" s="38"/>
      <c r="C886" s="56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</row>
    <row r="887" ht="15.75" customHeight="1">
      <c r="A887" s="38"/>
      <c r="B887" s="38"/>
      <c r="C887" s="56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</row>
    <row r="888" ht="15.75" customHeight="1">
      <c r="A888" s="38"/>
      <c r="B888" s="38"/>
      <c r="C888" s="56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</row>
    <row r="889" ht="15.75" customHeight="1">
      <c r="A889" s="38"/>
      <c r="B889" s="38"/>
      <c r="C889" s="56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</row>
    <row r="890" ht="15.75" customHeight="1">
      <c r="A890" s="38"/>
      <c r="B890" s="38"/>
      <c r="C890" s="56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</row>
    <row r="891" ht="15.75" customHeight="1">
      <c r="A891" s="38"/>
      <c r="B891" s="38"/>
      <c r="C891" s="56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</row>
    <row r="892" ht="15.75" customHeight="1">
      <c r="A892" s="38"/>
      <c r="B892" s="38"/>
      <c r="C892" s="56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</row>
    <row r="893" ht="15.75" customHeight="1">
      <c r="A893" s="38"/>
      <c r="B893" s="38"/>
      <c r="C893" s="56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</row>
    <row r="894" ht="15.75" customHeight="1">
      <c r="A894" s="38"/>
      <c r="B894" s="38"/>
      <c r="C894" s="56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</row>
    <row r="895" ht="15.75" customHeight="1">
      <c r="A895" s="38"/>
      <c r="B895" s="38"/>
      <c r="C895" s="56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</row>
    <row r="896" ht="15.75" customHeight="1">
      <c r="A896" s="38"/>
      <c r="B896" s="38"/>
      <c r="C896" s="56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</row>
    <row r="897" ht="15.75" customHeight="1">
      <c r="A897" s="38"/>
      <c r="B897" s="38"/>
      <c r="C897" s="56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</row>
    <row r="898" ht="15.75" customHeight="1">
      <c r="A898" s="38"/>
      <c r="B898" s="38"/>
      <c r="C898" s="56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</row>
    <row r="899" ht="15.75" customHeight="1">
      <c r="A899" s="38"/>
      <c r="B899" s="38"/>
      <c r="C899" s="56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</row>
    <row r="900" ht="15.75" customHeight="1">
      <c r="A900" s="38"/>
      <c r="B900" s="38"/>
      <c r="C900" s="56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</row>
    <row r="901" ht="15.75" customHeight="1">
      <c r="A901" s="38"/>
      <c r="B901" s="38"/>
      <c r="C901" s="56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</row>
    <row r="902" ht="15.75" customHeight="1">
      <c r="A902" s="38"/>
      <c r="B902" s="38"/>
      <c r="C902" s="56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</row>
    <row r="903" ht="15.75" customHeight="1">
      <c r="A903" s="38"/>
      <c r="B903" s="38"/>
      <c r="C903" s="56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</row>
    <row r="904" ht="15.75" customHeight="1">
      <c r="A904" s="38"/>
      <c r="B904" s="38"/>
      <c r="C904" s="56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</row>
    <row r="905" ht="15.75" customHeight="1">
      <c r="A905" s="38"/>
      <c r="B905" s="38"/>
      <c r="C905" s="56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</row>
    <row r="906" ht="15.75" customHeight="1">
      <c r="A906" s="38"/>
      <c r="B906" s="38"/>
      <c r="C906" s="56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</row>
    <row r="907" ht="15.75" customHeight="1">
      <c r="A907" s="38"/>
      <c r="B907" s="38"/>
      <c r="C907" s="56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</row>
    <row r="908" ht="15.75" customHeight="1">
      <c r="A908" s="38"/>
      <c r="B908" s="38"/>
      <c r="C908" s="56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</row>
    <row r="909" ht="15.75" customHeight="1">
      <c r="A909" s="38"/>
      <c r="B909" s="38"/>
      <c r="C909" s="56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</row>
    <row r="910" ht="15.75" customHeight="1">
      <c r="A910" s="38"/>
      <c r="B910" s="38"/>
      <c r="C910" s="56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</row>
    <row r="911" ht="15.75" customHeight="1">
      <c r="A911" s="38"/>
      <c r="B911" s="38"/>
      <c r="C911" s="56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</row>
    <row r="912" ht="15.75" customHeight="1">
      <c r="A912" s="38"/>
      <c r="B912" s="38"/>
      <c r="C912" s="56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</row>
    <row r="913" ht="15.75" customHeight="1">
      <c r="A913" s="38"/>
      <c r="B913" s="38"/>
      <c r="C913" s="56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</row>
    <row r="914" ht="15.75" customHeight="1">
      <c r="A914" s="38"/>
      <c r="B914" s="38"/>
      <c r="C914" s="56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</row>
    <row r="915" ht="15.75" customHeight="1">
      <c r="A915" s="38"/>
      <c r="B915" s="38"/>
      <c r="C915" s="56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</row>
    <row r="916" ht="15.75" customHeight="1">
      <c r="A916" s="38"/>
      <c r="B916" s="38"/>
      <c r="C916" s="56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</row>
    <row r="917" ht="15.75" customHeight="1">
      <c r="A917" s="38"/>
      <c r="B917" s="38"/>
      <c r="C917" s="56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</row>
    <row r="918" ht="15.75" customHeight="1">
      <c r="A918" s="38"/>
      <c r="B918" s="38"/>
      <c r="C918" s="56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</row>
    <row r="919" ht="15.75" customHeight="1">
      <c r="A919" s="38"/>
      <c r="B919" s="38"/>
      <c r="C919" s="56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</row>
    <row r="920" ht="15.75" customHeight="1">
      <c r="A920" s="38"/>
      <c r="B920" s="38"/>
      <c r="C920" s="56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</row>
    <row r="921" ht="15.75" customHeight="1">
      <c r="A921" s="38"/>
      <c r="B921" s="38"/>
      <c r="C921" s="56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</row>
    <row r="922" ht="15.75" customHeight="1">
      <c r="A922" s="38"/>
      <c r="B922" s="38"/>
      <c r="C922" s="56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</row>
    <row r="923" ht="15.75" customHeight="1">
      <c r="A923" s="38"/>
      <c r="B923" s="38"/>
      <c r="C923" s="56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</row>
    <row r="924" ht="15.75" customHeight="1">
      <c r="A924" s="38"/>
      <c r="B924" s="38"/>
      <c r="C924" s="56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</row>
    <row r="925" ht="15.75" customHeight="1">
      <c r="A925" s="38"/>
      <c r="B925" s="38"/>
      <c r="C925" s="56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</row>
    <row r="926" ht="15.75" customHeight="1">
      <c r="A926" s="38"/>
      <c r="B926" s="38"/>
      <c r="C926" s="56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</row>
    <row r="927" ht="15.75" customHeight="1">
      <c r="A927" s="38"/>
      <c r="B927" s="38"/>
      <c r="C927" s="56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</row>
    <row r="928" ht="15.75" customHeight="1">
      <c r="A928" s="38"/>
      <c r="B928" s="38"/>
      <c r="C928" s="56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</row>
    <row r="929" ht="15.75" customHeight="1">
      <c r="A929" s="38"/>
      <c r="B929" s="38"/>
      <c r="C929" s="56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</row>
    <row r="930" ht="15.75" customHeight="1">
      <c r="A930" s="38"/>
      <c r="B930" s="38"/>
      <c r="C930" s="56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</row>
    <row r="931" ht="15.75" customHeight="1">
      <c r="A931" s="38"/>
      <c r="B931" s="38"/>
      <c r="C931" s="56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</row>
    <row r="932" ht="15.75" customHeight="1">
      <c r="A932" s="38"/>
      <c r="B932" s="38"/>
      <c r="C932" s="56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</row>
    <row r="933" ht="15.75" customHeight="1">
      <c r="A933" s="38"/>
      <c r="B933" s="38"/>
      <c r="C933" s="56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</row>
    <row r="934" ht="15.75" customHeight="1">
      <c r="A934" s="38"/>
      <c r="B934" s="38"/>
      <c r="C934" s="56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</row>
    <row r="935" ht="15.75" customHeight="1">
      <c r="A935" s="38"/>
      <c r="B935" s="38"/>
      <c r="C935" s="56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</row>
    <row r="936" ht="15.75" customHeight="1">
      <c r="A936" s="38"/>
      <c r="B936" s="38"/>
      <c r="C936" s="56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</row>
    <row r="937" ht="15.75" customHeight="1">
      <c r="A937" s="38"/>
      <c r="B937" s="38"/>
      <c r="C937" s="56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</row>
    <row r="938" ht="15.75" customHeight="1">
      <c r="A938" s="38"/>
      <c r="B938" s="38"/>
      <c r="C938" s="56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</row>
    <row r="939" ht="15.75" customHeight="1">
      <c r="A939" s="38"/>
      <c r="B939" s="38"/>
      <c r="C939" s="56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</row>
    <row r="940" ht="15.75" customHeight="1">
      <c r="A940" s="38"/>
      <c r="B940" s="38"/>
      <c r="C940" s="56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</row>
    <row r="941" ht="15.75" customHeight="1">
      <c r="A941" s="38"/>
      <c r="B941" s="38"/>
      <c r="C941" s="56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</row>
    <row r="942" ht="15.75" customHeight="1">
      <c r="A942" s="38"/>
      <c r="B942" s="38"/>
      <c r="C942" s="56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</row>
    <row r="943" ht="15.75" customHeight="1">
      <c r="A943" s="38"/>
      <c r="B943" s="38"/>
      <c r="C943" s="56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</row>
    <row r="944" ht="15.75" customHeight="1">
      <c r="A944" s="38"/>
      <c r="B944" s="38"/>
      <c r="C944" s="56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</row>
    <row r="945" ht="15.75" customHeight="1">
      <c r="A945" s="38"/>
      <c r="B945" s="38"/>
      <c r="C945" s="56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</row>
    <row r="946" ht="15.75" customHeight="1">
      <c r="A946" s="38"/>
      <c r="B946" s="38"/>
      <c r="C946" s="56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</row>
    <row r="947" ht="15.75" customHeight="1">
      <c r="A947" s="38"/>
      <c r="B947" s="38"/>
      <c r="C947" s="56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</row>
    <row r="948" ht="15.75" customHeight="1">
      <c r="A948" s="38"/>
      <c r="B948" s="38"/>
      <c r="C948" s="56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</row>
    <row r="949" ht="15.75" customHeight="1">
      <c r="A949" s="38"/>
      <c r="B949" s="38"/>
      <c r="C949" s="56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</row>
    <row r="950" ht="15.75" customHeight="1">
      <c r="A950" s="38"/>
      <c r="B950" s="38"/>
      <c r="C950" s="56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</row>
    <row r="951" ht="15.75" customHeight="1">
      <c r="A951" s="38"/>
      <c r="B951" s="38"/>
      <c r="C951" s="56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</row>
    <row r="952" ht="15.75" customHeight="1">
      <c r="A952" s="38"/>
      <c r="B952" s="38"/>
      <c r="C952" s="56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</row>
    <row r="953" ht="15.75" customHeight="1">
      <c r="A953" s="38"/>
      <c r="B953" s="38"/>
      <c r="C953" s="56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</row>
    <row r="954" ht="15.75" customHeight="1">
      <c r="A954" s="38"/>
      <c r="B954" s="38"/>
      <c r="C954" s="56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</row>
    <row r="955" ht="15.75" customHeight="1">
      <c r="A955" s="38"/>
      <c r="B955" s="38"/>
      <c r="C955" s="56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</row>
    <row r="956" ht="15.75" customHeight="1">
      <c r="A956" s="38"/>
      <c r="B956" s="38"/>
      <c r="C956" s="56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</row>
    <row r="957" ht="15.75" customHeight="1">
      <c r="A957" s="38"/>
      <c r="B957" s="38"/>
      <c r="C957" s="56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</row>
    <row r="958" ht="15.75" customHeight="1">
      <c r="A958" s="38"/>
      <c r="B958" s="38"/>
      <c r="C958" s="56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</row>
    <row r="959" ht="15.75" customHeight="1">
      <c r="A959" s="38"/>
      <c r="B959" s="38"/>
      <c r="C959" s="56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</row>
    <row r="960" ht="15.75" customHeight="1">
      <c r="A960" s="38"/>
      <c r="B960" s="38"/>
      <c r="C960" s="56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</row>
    <row r="961" ht="15.75" customHeight="1">
      <c r="A961" s="38"/>
      <c r="B961" s="38"/>
      <c r="C961" s="56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</row>
    <row r="962" ht="15.75" customHeight="1">
      <c r="A962" s="38"/>
      <c r="B962" s="38"/>
      <c r="C962" s="56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</row>
    <row r="963" ht="15.75" customHeight="1">
      <c r="A963" s="38"/>
      <c r="B963" s="38"/>
      <c r="C963" s="56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</row>
    <row r="964" ht="15.75" customHeight="1">
      <c r="A964" s="38"/>
      <c r="B964" s="38"/>
      <c r="C964" s="56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</row>
    <row r="965" ht="15.75" customHeight="1">
      <c r="A965" s="38"/>
      <c r="B965" s="38"/>
      <c r="C965" s="56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</row>
    <row r="966" ht="15.75" customHeight="1">
      <c r="A966" s="38"/>
      <c r="B966" s="38"/>
      <c r="C966" s="56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</row>
    <row r="967" ht="15.75" customHeight="1">
      <c r="A967" s="38"/>
      <c r="B967" s="38"/>
      <c r="C967" s="56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</row>
    <row r="968" ht="15.75" customHeight="1">
      <c r="A968" s="38"/>
      <c r="B968" s="38"/>
      <c r="C968" s="56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</row>
    <row r="969" ht="15.75" customHeight="1">
      <c r="A969" s="38"/>
      <c r="B969" s="38"/>
      <c r="C969" s="56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</row>
    <row r="970" ht="15.75" customHeight="1">
      <c r="A970" s="38"/>
      <c r="B970" s="38"/>
      <c r="C970" s="56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</row>
    <row r="971" ht="15.75" customHeight="1">
      <c r="A971" s="38"/>
      <c r="B971" s="38"/>
      <c r="C971" s="56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</row>
    <row r="972" ht="15.75" customHeight="1">
      <c r="A972" s="38"/>
      <c r="B972" s="38"/>
      <c r="C972" s="56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</row>
    <row r="973" ht="15.75" customHeight="1">
      <c r="A973" s="38"/>
      <c r="B973" s="38"/>
      <c r="C973" s="56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</row>
    <row r="974" ht="15.75" customHeight="1">
      <c r="A974" s="38"/>
      <c r="B974" s="38"/>
      <c r="C974" s="56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</row>
    <row r="975" ht="15.75" customHeight="1">
      <c r="A975" s="38"/>
      <c r="B975" s="38"/>
      <c r="C975" s="56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</row>
    <row r="976" ht="15.75" customHeight="1">
      <c r="A976" s="38"/>
      <c r="B976" s="38"/>
      <c r="C976" s="56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</row>
    <row r="977" ht="15.75" customHeight="1">
      <c r="A977" s="38"/>
      <c r="B977" s="38"/>
      <c r="C977" s="56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</row>
    <row r="978" ht="15.75" customHeight="1">
      <c r="A978" s="38"/>
      <c r="B978" s="38"/>
      <c r="C978" s="56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</row>
    <row r="979" ht="15.75" customHeight="1">
      <c r="A979" s="38"/>
      <c r="B979" s="38"/>
      <c r="C979" s="56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</row>
    <row r="980" ht="15.75" customHeight="1">
      <c r="A980" s="38"/>
      <c r="B980" s="38"/>
      <c r="C980" s="56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</row>
    <row r="981" ht="15.75" customHeight="1">
      <c r="A981" s="38"/>
      <c r="B981" s="38"/>
      <c r="C981" s="56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</row>
    <row r="982" ht="15.75" customHeight="1">
      <c r="A982" s="38"/>
      <c r="B982" s="38"/>
      <c r="C982" s="56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</row>
    <row r="983" ht="15.75" customHeight="1">
      <c r="A983" s="38"/>
      <c r="B983" s="38"/>
      <c r="C983" s="56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</row>
    <row r="984" ht="15.75" customHeight="1">
      <c r="A984" s="38"/>
      <c r="B984" s="38"/>
      <c r="C984" s="56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</row>
    <row r="985" ht="15.75" customHeight="1">
      <c r="A985" s="38"/>
      <c r="B985" s="38"/>
      <c r="C985" s="56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</row>
    <row r="986" ht="15.75" customHeight="1">
      <c r="A986" s="38"/>
      <c r="B986" s="38"/>
      <c r="C986" s="56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</row>
  </sheetData>
  <mergeCells count="24">
    <mergeCell ref="B5:O5"/>
    <mergeCell ref="C6:D6"/>
    <mergeCell ref="B7:B8"/>
    <mergeCell ref="C7:C8"/>
    <mergeCell ref="G7:G8"/>
    <mergeCell ref="B9:G9"/>
    <mergeCell ref="F10:J10"/>
    <mergeCell ref="B11:E11"/>
    <mergeCell ref="B12:E12"/>
    <mergeCell ref="F12:J12"/>
    <mergeCell ref="B13:E13"/>
    <mergeCell ref="F13:J13"/>
    <mergeCell ref="B14:E14"/>
    <mergeCell ref="F14:J14"/>
    <mergeCell ref="B21:E21"/>
    <mergeCell ref="B22:E22"/>
    <mergeCell ref="B23:E23"/>
    <mergeCell ref="B15:E15"/>
    <mergeCell ref="F15:J15"/>
    <mergeCell ref="B16:E16"/>
    <mergeCell ref="B17:E17"/>
    <mergeCell ref="B18:E18"/>
    <mergeCell ref="B19:E19"/>
    <mergeCell ref="B20:E20"/>
  </mergeCells>
  <hyperlinks>
    <hyperlink r:id="rId1" ref="B7"/>
  </hyperlinks>
  <printOptions/>
  <pageMargins bottom="0.75" footer="0.0" header="0.0" left="0.700000047683716" right="0.700000047683716" top="0.75"/>
  <pageSetup orientation="portrait" paperHeight="11.6929197in" paperWidth="8.267721i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46.63"/>
    <col customWidth="1" min="3" max="3" width="20.0"/>
    <col customWidth="1" min="4" max="4" width="2.88"/>
  </cols>
  <sheetData>
    <row r="1" ht="9.0" customHeight="1">
      <c r="A1" s="4"/>
    </row>
    <row r="2" ht="15.75" customHeight="1">
      <c r="A2" s="1"/>
      <c r="B2" s="2" t="s">
        <v>0</v>
      </c>
      <c r="C2" s="3"/>
      <c r="D2" s="3"/>
    </row>
    <row r="3" ht="15.75" customHeight="1">
      <c r="A3" s="4"/>
      <c r="B3" s="5" t="s">
        <v>1</v>
      </c>
      <c r="C3" s="6"/>
      <c r="D3" s="6"/>
    </row>
    <row r="4" ht="15.75" customHeight="1">
      <c r="A4" s="4"/>
      <c r="B4" s="5" t="s">
        <v>2</v>
      </c>
      <c r="C4" s="6"/>
      <c r="D4" s="6"/>
    </row>
    <row r="5" ht="16.5" customHeight="1">
      <c r="A5" s="4"/>
      <c r="B5" s="7" t="s">
        <v>3</v>
      </c>
      <c r="C5" s="60"/>
      <c r="D5" s="60"/>
    </row>
    <row r="6">
      <c r="A6" s="61"/>
      <c r="B6" s="62" t="s">
        <v>41</v>
      </c>
      <c r="C6" s="62" t="s">
        <v>42</v>
      </c>
      <c r="D6" s="61"/>
    </row>
    <row r="7">
      <c r="A7" s="61"/>
      <c r="B7" s="63" t="s">
        <v>43</v>
      </c>
      <c r="C7" s="64">
        <v>8793.0</v>
      </c>
      <c r="D7" s="61"/>
    </row>
    <row r="8">
      <c r="A8" s="61"/>
      <c r="B8" s="63" t="s">
        <v>44</v>
      </c>
      <c r="C8" s="64">
        <v>3109.0</v>
      </c>
      <c r="D8" s="61"/>
    </row>
    <row r="9">
      <c r="A9" s="61"/>
      <c r="B9" s="63" t="s">
        <v>45</v>
      </c>
      <c r="C9" s="64">
        <v>2325.0</v>
      </c>
      <c r="D9" s="61"/>
    </row>
    <row r="10">
      <c r="A10" s="61"/>
      <c r="B10" s="63" t="s">
        <v>46</v>
      </c>
      <c r="C10" s="64">
        <v>1348.0</v>
      </c>
      <c r="D10" s="61"/>
    </row>
    <row r="11">
      <c r="A11" s="61"/>
      <c r="B11" s="63" t="s">
        <v>47</v>
      </c>
      <c r="C11" s="64">
        <v>642.0</v>
      </c>
      <c r="D11" s="61"/>
    </row>
    <row r="12">
      <c r="A12" s="61"/>
      <c r="B12" s="63" t="s">
        <v>48</v>
      </c>
      <c r="C12" s="64">
        <v>594.0</v>
      </c>
      <c r="D12" s="61"/>
    </row>
    <row r="13">
      <c r="A13" s="61"/>
      <c r="B13" s="63" t="s">
        <v>49</v>
      </c>
      <c r="C13" s="64">
        <v>551.0</v>
      </c>
      <c r="D13" s="61"/>
    </row>
    <row r="14">
      <c r="A14" s="61"/>
      <c r="B14" s="63" t="s">
        <v>50</v>
      </c>
      <c r="C14" s="64">
        <v>473.0</v>
      </c>
      <c r="D14" s="61"/>
    </row>
    <row r="15">
      <c r="A15" s="61"/>
      <c r="B15" s="63" t="s">
        <v>51</v>
      </c>
      <c r="C15" s="64">
        <v>465.0</v>
      </c>
      <c r="D15" s="61"/>
    </row>
    <row r="16">
      <c r="A16" s="61"/>
      <c r="B16" s="63" t="s">
        <v>52</v>
      </c>
      <c r="C16" s="64">
        <v>458.0</v>
      </c>
      <c r="D16" s="61"/>
    </row>
    <row r="17">
      <c r="A17" s="61"/>
      <c r="B17" s="63" t="s">
        <v>53</v>
      </c>
      <c r="C17" s="64">
        <v>451.0</v>
      </c>
      <c r="D17" s="61"/>
    </row>
    <row r="18">
      <c r="A18" s="61"/>
      <c r="B18" s="63" t="s">
        <v>54</v>
      </c>
      <c r="C18" s="64">
        <v>386.0</v>
      </c>
      <c r="D18" s="61"/>
    </row>
    <row r="19">
      <c r="A19" s="61"/>
      <c r="B19" s="63" t="s">
        <v>55</v>
      </c>
      <c r="C19" s="64">
        <v>375.0</v>
      </c>
      <c r="D19" s="61"/>
    </row>
    <row r="20">
      <c r="A20" s="61"/>
      <c r="B20" s="63" t="s">
        <v>56</v>
      </c>
      <c r="C20" s="64">
        <v>249.0</v>
      </c>
      <c r="D20" s="61"/>
    </row>
    <row r="21">
      <c r="A21" s="61"/>
      <c r="B21" s="63" t="s">
        <v>57</v>
      </c>
      <c r="C21" s="64">
        <v>176.0</v>
      </c>
      <c r="D21" s="61"/>
    </row>
    <row r="22">
      <c r="A22" s="61"/>
      <c r="B22" s="63" t="s">
        <v>58</v>
      </c>
      <c r="C22" s="64">
        <v>151.0</v>
      </c>
      <c r="D22" s="61"/>
    </row>
    <row r="23">
      <c r="A23" s="61"/>
      <c r="B23" s="63" t="s">
        <v>59</v>
      </c>
      <c r="C23" s="64">
        <v>144.0</v>
      </c>
      <c r="D23" s="61"/>
    </row>
    <row r="24">
      <c r="A24" s="61"/>
      <c r="B24" s="63" t="s">
        <v>60</v>
      </c>
      <c r="C24" s="64">
        <v>126.0</v>
      </c>
      <c r="D24" s="61"/>
    </row>
    <row r="25">
      <c r="A25" s="61"/>
      <c r="B25" s="63" t="s">
        <v>61</v>
      </c>
      <c r="C25" s="64">
        <v>122.0</v>
      </c>
      <c r="D25" s="61"/>
    </row>
    <row r="26">
      <c r="A26" s="61"/>
      <c r="B26" s="63" t="s">
        <v>62</v>
      </c>
      <c r="C26" s="64">
        <v>105.0</v>
      </c>
      <c r="D26" s="61"/>
    </row>
    <row r="27">
      <c r="A27" s="61"/>
      <c r="B27" s="63" t="s">
        <v>63</v>
      </c>
      <c r="C27" s="64">
        <v>103.0</v>
      </c>
      <c r="D27" s="61"/>
    </row>
    <row r="28">
      <c r="A28" s="61"/>
      <c r="B28" s="63" t="s">
        <v>64</v>
      </c>
      <c r="C28" s="64">
        <v>95.0</v>
      </c>
      <c r="D28" s="61"/>
    </row>
    <row r="29">
      <c r="A29" s="61"/>
      <c r="B29" s="65"/>
      <c r="C29" s="66"/>
      <c r="D29" s="61"/>
    </row>
    <row r="30">
      <c r="A30" s="61"/>
      <c r="B30" s="65"/>
      <c r="C30" s="66"/>
      <c r="D30" s="61"/>
    </row>
    <row r="31">
      <c r="A31" s="61"/>
      <c r="B31" s="65"/>
      <c r="C31" s="66"/>
      <c r="D31" s="61"/>
    </row>
    <row r="32">
      <c r="A32" s="61"/>
      <c r="B32" s="65"/>
      <c r="C32" s="66"/>
      <c r="D32" s="61"/>
    </row>
    <row r="33">
      <c r="A33" s="61"/>
      <c r="B33" s="65"/>
      <c r="C33" s="66"/>
      <c r="D33" s="61"/>
    </row>
    <row r="34">
      <c r="A34" s="61"/>
      <c r="B34" s="65"/>
      <c r="C34" s="66"/>
      <c r="D34" s="61"/>
    </row>
    <row r="35">
      <c r="A35" s="61"/>
      <c r="B35" s="65"/>
      <c r="C35" s="66"/>
      <c r="D35" s="61"/>
    </row>
    <row r="36">
      <c r="A36" s="61"/>
      <c r="B36" s="65"/>
      <c r="C36" s="66"/>
      <c r="D36" s="61"/>
    </row>
    <row r="37">
      <c r="A37" s="61"/>
      <c r="B37" s="65"/>
      <c r="C37" s="66"/>
      <c r="D37" s="61"/>
    </row>
    <row r="38">
      <c r="A38" s="61"/>
      <c r="B38" s="65"/>
      <c r="C38" s="66"/>
      <c r="D38" s="61"/>
    </row>
    <row r="39">
      <c r="A39" s="61"/>
      <c r="B39" s="65"/>
      <c r="C39" s="66"/>
      <c r="D39" s="61"/>
    </row>
    <row r="40">
      <c r="A40" s="61"/>
      <c r="B40" s="65"/>
      <c r="C40" s="66"/>
      <c r="D40" s="61"/>
    </row>
    <row r="41">
      <c r="A41" s="61"/>
      <c r="B41" s="65"/>
      <c r="C41" s="66"/>
      <c r="D41" s="61"/>
    </row>
    <row r="42">
      <c r="A42" s="61"/>
      <c r="B42" s="65"/>
      <c r="C42" s="66"/>
      <c r="D42" s="61"/>
    </row>
    <row r="43">
      <c r="A43" s="61"/>
      <c r="B43" s="65"/>
      <c r="C43" s="66"/>
      <c r="D43" s="61"/>
    </row>
    <row r="44">
      <c r="A44" s="61"/>
      <c r="B44" s="65"/>
      <c r="C44" s="66"/>
      <c r="D44" s="61"/>
    </row>
    <row r="45">
      <c r="A45" s="61"/>
      <c r="B45" s="65"/>
      <c r="C45" s="66"/>
      <c r="D45" s="61"/>
    </row>
    <row r="46">
      <c r="A46" s="61"/>
      <c r="B46" s="65"/>
      <c r="C46" s="66"/>
      <c r="D46" s="61"/>
    </row>
    <row r="47">
      <c r="A47" s="61"/>
      <c r="B47" s="65"/>
      <c r="C47" s="66"/>
      <c r="D47" s="61"/>
    </row>
    <row r="48">
      <c r="A48" s="61"/>
      <c r="B48" s="65"/>
      <c r="C48" s="66"/>
      <c r="D48" s="61"/>
    </row>
    <row r="49">
      <c r="A49" s="61"/>
      <c r="B49" s="65"/>
      <c r="C49" s="66"/>
      <c r="D49" s="61"/>
    </row>
    <row r="50">
      <c r="A50" s="61"/>
      <c r="B50" s="65"/>
      <c r="C50" s="66"/>
      <c r="D50" s="61"/>
    </row>
    <row r="51">
      <c r="A51" s="61"/>
      <c r="B51" s="65"/>
      <c r="C51" s="66"/>
      <c r="D51" s="61"/>
    </row>
    <row r="52">
      <c r="A52" s="61"/>
      <c r="B52" s="65"/>
      <c r="C52" s="66"/>
      <c r="D52" s="61"/>
    </row>
    <row r="53">
      <c r="A53" s="61"/>
      <c r="B53" s="65"/>
      <c r="C53" s="66"/>
      <c r="D53" s="61"/>
    </row>
    <row r="54">
      <c r="A54" s="61"/>
      <c r="B54" s="65"/>
      <c r="C54" s="66"/>
      <c r="D54" s="61"/>
    </row>
    <row r="55">
      <c r="A55" s="61"/>
      <c r="B55" s="65"/>
      <c r="C55" s="66"/>
      <c r="D55" s="61"/>
    </row>
    <row r="56">
      <c r="A56" s="61"/>
      <c r="B56" s="65"/>
      <c r="C56" s="66"/>
      <c r="D56" s="61"/>
    </row>
    <row r="57">
      <c r="A57" s="61"/>
      <c r="B57" s="65"/>
      <c r="C57" s="66"/>
      <c r="D57" s="61"/>
    </row>
    <row r="58">
      <c r="A58" s="61"/>
      <c r="B58" s="65"/>
      <c r="C58" s="66"/>
      <c r="D58" s="61"/>
    </row>
    <row r="59">
      <c r="A59" s="61"/>
      <c r="B59" s="65"/>
      <c r="C59" s="66"/>
      <c r="D59" s="61"/>
    </row>
    <row r="60">
      <c r="A60" s="61"/>
      <c r="B60" s="65"/>
      <c r="C60" s="66"/>
      <c r="D60" s="61"/>
    </row>
    <row r="61">
      <c r="A61" s="61"/>
      <c r="B61" s="65"/>
      <c r="C61" s="66"/>
      <c r="D61" s="61"/>
    </row>
    <row r="62">
      <c r="A62" s="61"/>
      <c r="B62" s="65"/>
      <c r="C62" s="66"/>
      <c r="D62" s="61"/>
    </row>
    <row r="63">
      <c r="A63" s="61"/>
      <c r="B63" s="65"/>
      <c r="C63" s="66"/>
      <c r="D63" s="61"/>
    </row>
    <row r="64">
      <c r="A64" s="61"/>
      <c r="B64" s="65"/>
      <c r="C64" s="66"/>
      <c r="D64" s="61"/>
    </row>
    <row r="65">
      <c r="A65" s="61"/>
      <c r="B65" s="65"/>
      <c r="C65" s="66"/>
      <c r="D65" s="61"/>
    </row>
    <row r="66">
      <c r="A66" s="61"/>
      <c r="B66" s="65"/>
      <c r="C66" s="66"/>
      <c r="D66" s="61"/>
    </row>
    <row r="67">
      <c r="A67" s="61"/>
      <c r="B67" s="65"/>
      <c r="C67" s="66"/>
      <c r="D67" s="61"/>
    </row>
    <row r="68">
      <c r="A68" s="61"/>
      <c r="B68" s="65"/>
      <c r="C68" s="66"/>
      <c r="D68" s="61"/>
    </row>
    <row r="69">
      <c r="A69" s="61"/>
      <c r="B69" s="65"/>
      <c r="C69" s="66"/>
      <c r="D69" s="61"/>
    </row>
    <row r="70">
      <c r="A70" s="61"/>
      <c r="B70" s="65"/>
      <c r="C70" s="66"/>
      <c r="D70" s="61"/>
    </row>
    <row r="71">
      <c r="A71" s="61"/>
      <c r="B71" s="65"/>
      <c r="C71" s="66"/>
      <c r="D71" s="61"/>
    </row>
    <row r="72">
      <c r="A72" s="61"/>
      <c r="B72" s="65"/>
      <c r="C72" s="66"/>
      <c r="D72" s="61"/>
    </row>
    <row r="73">
      <c r="A73" s="61"/>
      <c r="B73" s="65"/>
      <c r="C73" s="66"/>
      <c r="D73" s="61"/>
    </row>
    <row r="74">
      <c r="A74" s="61"/>
      <c r="B74" s="65"/>
      <c r="C74" s="66"/>
      <c r="D74" s="61"/>
    </row>
    <row r="75">
      <c r="A75" s="61"/>
      <c r="B75" s="65"/>
      <c r="C75" s="66"/>
      <c r="D75" s="61"/>
    </row>
    <row r="76">
      <c r="A76" s="61"/>
      <c r="B76" s="65"/>
      <c r="C76" s="66"/>
      <c r="D76" s="61"/>
    </row>
    <row r="77">
      <c r="A77" s="61"/>
      <c r="B77" s="65"/>
      <c r="C77" s="66"/>
      <c r="D77" s="61"/>
    </row>
    <row r="78">
      <c r="A78" s="61"/>
      <c r="B78" s="65"/>
      <c r="C78" s="66"/>
      <c r="D78" s="61"/>
    </row>
    <row r="79">
      <c r="A79" s="61"/>
      <c r="B79" s="65"/>
      <c r="C79" s="66"/>
      <c r="D79" s="61"/>
    </row>
    <row r="80">
      <c r="A80" s="61"/>
      <c r="B80" s="65"/>
      <c r="C80" s="66"/>
      <c r="D80" s="61"/>
    </row>
    <row r="81">
      <c r="A81" s="61"/>
      <c r="B81" s="65"/>
      <c r="C81" s="66"/>
      <c r="D81" s="61"/>
    </row>
    <row r="82">
      <c r="A82" s="61"/>
      <c r="B82" s="65"/>
      <c r="C82" s="66"/>
      <c r="D82" s="61"/>
    </row>
    <row r="83">
      <c r="A83" s="61"/>
      <c r="B83" s="65"/>
      <c r="C83" s="66"/>
      <c r="D83" s="61"/>
    </row>
    <row r="84">
      <c r="A84" s="61"/>
      <c r="B84" s="65"/>
      <c r="C84" s="66"/>
      <c r="D84" s="61"/>
    </row>
    <row r="85">
      <c r="A85" s="61"/>
      <c r="B85" s="65"/>
      <c r="C85" s="66"/>
      <c r="D85" s="61"/>
    </row>
    <row r="86">
      <c r="A86" s="61"/>
      <c r="B86" s="65"/>
      <c r="C86" s="66"/>
      <c r="D86" s="61"/>
    </row>
    <row r="87">
      <c r="A87" s="61"/>
      <c r="B87" s="65"/>
      <c r="C87" s="66"/>
      <c r="D87" s="61"/>
    </row>
    <row r="88">
      <c r="A88" s="61"/>
      <c r="B88" s="65"/>
      <c r="C88" s="66"/>
      <c r="D88" s="61"/>
    </row>
    <row r="89">
      <c r="A89" s="61"/>
      <c r="B89" s="65"/>
      <c r="C89" s="66"/>
      <c r="D89" s="61"/>
    </row>
    <row r="90">
      <c r="A90" s="61"/>
      <c r="B90" s="65"/>
      <c r="C90" s="66"/>
      <c r="D90" s="61"/>
    </row>
    <row r="91">
      <c r="A91" s="61"/>
      <c r="B91" s="65"/>
      <c r="C91" s="66"/>
      <c r="D91" s="61"/>
    </row>
    <row r="92">
      <c r="A92" s="61"/>
      <c r="B92" s="65"/>
      <c r="C92" s="66"/>
      <c r="D92" s="61"/>
    </row>
    <row r="93">
      <c r="A93" s="61"/>
      <c r="B93" s="65"/>
      <c r="C93" s="66"/>
      <c r="D93" s="61"/>
    </row>
    <row r="94">
      <c r="A94" s="61"/>
      <c r="B94" s="65"/>
      <c r="C94" s="66"/>
      <c r="D94" s="61"/>
    </row>
    <row r="95">
      <c r="A95" s="61"/>
      <c r="B95" s="65"/>
      <c r="C95" s="66"/>
      <c r="D95" s="61"/>
    </row>
    <row r="96">
      <c r="A96" s="61"/>
      <c r="B96" s="65"/>
      <c r="C96" s="66"/>
      <c r="D96" s="61"/>
    </row>
    <row r="97">
      <c r="A97" s="61"/>
      <c r="B97" s="65"/>
      <c r="C97" s="66"/>
      <c r="D97" s="61"/>
    </row>
    <row r="98">
      <c r="A98" s="61"/>
      <c r="B98" s="65"/>
      <c r="C98" s="66"/>
      <c r="D98" s="61"/>
    </row>
    <row r="99">
      <c r="A99" s="61"/>
      <c r="B99" s="65"/>
      <c r="C99" s="66"/>
      <c r="D99" s="61"/>
    </row>
    <row r="100">
      <c r="A100" s="61"/>
      <c r="B100" s="65"/>
      <c r="C100" s="66"/>
      <c r="D100" s="61"/>
    </row>
    <row r="101">
      <c r="A101" s="61"/>
      <c r="B101" s="65"/>
      <c r="C101" s="66"/>
      <c r="D101" s="61"/>
    </row>
    <row r="102">
      <c r="A102" s="61"/>
      <c r="B102" s="65"/>
      <c r="C102" s="66"/>
      <c r="D102" s="61"/>
    </row>
    <row r="103">
      <c r="A103" s="61"/>
      <c r="B103" s="65"/>
      <c r="C103" s="66"/>
      <c r="D103" s="6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2" max="2" width="46.13"/>
  </cols>
  <sheetData>
    <row r="1">
      <c r="A1" s="67"/>
      <c r="B1" s="68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>
      <c r="A2" s="71"/>
      <c r="B2" s="68" t="s">
        <v>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>
      <c r="A3" s="71"/>
      <c r="B3" s="68" t="s">
        <v>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>
      <c r="A4" s="71"/>
      <c r="B4" s="72" t="s">
        <v>65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4"/>
    </row>
    <row r="5">
      <c r="A5" s="75"/>
      <c r="B5" s="76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77"/>
    </row>
    <row r="6">
      <c r="A6" s="75"/>
      <c r="B6" s="78" t="s">
        <v>5</v>
      </c>
      <c r="C6" s="79" t="s">
        <v>6</v>
      </c>
      <c r="D6" s="12"/>
      <c r="E6" s="78" t="s">
        <v>7</v>
      </c>
      <c r="F6" s="78" t="s">
        <v>8</v>
      </c>
      <c r="G6" s="78" t="s">
        <v>9</v>
      </c>
      <c r="H6" s="78" t="s">
        <v>10</v>
      </c>
      <c r="I6" s="78" t="s">
        <v>11</v>
      </c>
      <c r="J6" s="78" t="s">
        <v>12</v>
      </c>
      <c r="K6" s="78" t="s">
        <v>13</v>
      </c>
      <c r="L6" s="78" t="s">
        <v>14</v>
      </c>
      <c r="M6" s="78" t="s">
        <v>15</v>
      </c>
      <c r="N6" s="78" t="s">
        <v>16</v>
      </c>
      <c r="O6" s="78" t="s">
        <v>17</v>
      </c>
      <c r="P6" s="77"/>
    </row>
    <row r="7">
      <c r="A7" s="75"/>
      <c r="B7" s="80" t="s">
        <v>66</v>
      </c>
      <c r="C7" s="81" t="s">
        <v>19</v>
      </c>
      <c r="D7" s="82" t="s">
        <v>20</v>
      </c>
      <c r="E7" s="82" t="s">
        <v>21</v>
      </c>
      <c r="F7" s="82" t="s">
        <v>22</v>
      </c>
      <c r="G7" s="81" t="s">
        <v>23</v>
      </c>
      <c r="H7" s="83">
        <v>6851.0</v>
      </c>
      <c r="I7" s="84">
        <f t="shared" ref="I7:I8" si="1">J7/H7*100</f>
        <v>12.80105094</v>
      </c>
      <c r="J7" s="83">
        <v>877.0</v>
      </c>
      <c r="K7" s="85">
        <f t="shared" ref="K7:K9" si="2">O7/J7</f>
        <v>28.50627138</v>
      </c>
      <c r="L7" s="86">
        <v>0.025</v>
      </c>
      <c r="M7" s="87">
        <f t="shared" ref="M7:M8" si="3">J7*L7</f>
        <v>21.925</v>
      </c>
      <c r="N7" s="85">
        <f t="shared" ref="N7:N8" si="4">O7/M7</f>
        <v>1140.250855</v>
      </c>
      <c r="O7" s="88">
        <v>25000.0</v>
      </c>
      <c r="P7" s="77"/>
    </row>
    <row r="8">
      <c r="A8" s="75"/>
      <c r="B8" s="26"/>
      <c r="C8" s="26"/>
      <c r="D8" s="82" t="s">
        <v>24</v>
      </c>
      <c r="E8" s="82" t="s">
        <v>25</v>
      </c>
      <c r="F8" s="82" t="s">
        <v>26</v>
      </c>
      <c r="G8" s="26"/>
      <c r="H8" s="83">
        <v>64156.0</v>
      </c>
      <c r="I8" s="89">
        <f t="shared" si="1"/>
        <v>2.233618056</v>
      </c>
      <c r="J8" s="83">
        <v>1433.0</v>
      </c>
      <c r="K8" s="85">
        <f t="shared" si="2"/>
        <v>10.46755059</v>
      </c>
      <c r="L8" s="86">
        <v>0.017</v>
      </c>
      <c r="M8" s="87">
        <f t="shared" si="3"/>
        <v>24.361</v>
      </c>
      <c r="N8" s="85">
        <f t="shared" si="4"/>
        <v>615.7382702</v>
      </c>
      <c r="O8" s="88">
        <v>15000.0</v>
      </c>
      <c r="P8" s="77"/>
    </row>
    <row r="9">
      <c r="A9" s="75"/>
      <c r="B9" s="79" t="s">
        <v>27</v>
      </c>
      <c r="C9" s="11"/>
      <c r="D9" s="11"/>
      <c r="E9" s="11"/>
      <c r="F9" s="11"/>
      <c r="G9" s="12"/>
      <c r="H9" s="90">
        <f>SUM(H7:H8)</f>
        <v>71007</v>
      </c>
      <c r="I9" s="91">
        <f>AVERAGE(I7:I8)</f>
        <v>7.517334499</v>
      </c>
      <c r="J9" s="90">
        <f>SUM(J7:J8)</f>
        <v>2310</v>
      </c>
      <c r="K9" s="92">
        <f t="shared" si="2"/>
        <v>17.31601732</v>
      </c>
      <c r="L9" s="93">
        <f>M9/J9*1</f>
        <v>0.02003722944</v>
      </c>
      <c r="M9" s="90">
        <f>SUM(M7:M8)</f>
        <v>46.286</v>
      </c>
      <c r="N9" s="92">
        <f>AVERAGE(N7:N8)</f>
        <v>877.9945627</v>
      </c>
      <c r="O9" s="92">
        <f>SUM(O7:O8)</f>
        <v>40000</v>
      </c>
      <c r="P9" s="77"/>
    </row>
    <row r="10">
      <c r="A10" s="71"/>
      <c r="B10" s="94"/>
      <c r="C10" s="95"/>
      <c r="D10" s="96"/>
      <c r="E10" s="97"/>
      <c r="F10" s="96"/>
      <c r="J10" s="36"/>
      <c r="K10" s="98"/>
      <c r="L10" s="74"/>
      <c r="M10" s="74"/>
      <c r="N10" s="74"/>
      <c r="O10" s="74"/>
      <c r="P10" s="74"/>
    </row>
    <row r="11">
      <c r="A11" s="75"/>
      <c r="B11" s="99" t="s">
        <v>28</v>
      </c>
      <c r="C11" s="11"/>
      <c r="D11" s="11"/>
      <c r="E11" s="12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74"/>
    </row>
    <row r="12">
      <c r="A12" s="75"/>
      <c r="B12" s="100" t="s">
        <v>29</v>
      </c>
      <c r="C12" s="11"/>
      <c r="D12" s="11"/>
      <c r="E12" s="12"/>
      <c r="F12" s="101"/>
      <c r="G12" s="42"/>
      <c r="H12" s="42"/>
      <c r="I12" s="42"/>
      <c r="J12" s="43"/>
      <c r="K12" s="98"/>
      <c r="L12" s="74"/>
      <c r="M12" s="74"/>
      <c r="N12" s="74"/>
      <c r="O12" s="74"/>
      <c r="P12" s="74"/>
    </row>
    <row r="13">
      <c r="A13" s="75"/>
      <c r="B13" s="100" t="s">
        <v>30</v>
      </c>
      <c r="C13" s="11"/>
      <c r="D13" s="11"/>
      <c r="E13" s="12"/>
      <c r="F13" s="102"/>
      <c r="G13" s="45"/>
      <c r="H13" s="45"/>
      <c r="I13" s="45"/>
      <c r="J13" s="46"/>
      <c r="K13" s="98"/>
      <c r="L13" s="74"/>
      <c r="M13" s="74"/>
      <c r="N13" s="74"/>
      <c r="O13" s="74"/>
      <c r="P13" s="74"/>
    </row>
    <row r="14">
      <c r="A14" s="75"/>
      <c r="B14" s="100" t="s">
        <v>31</v>
      </c>
      <c r="C14" s="11"/>
      <c r="D14" s="11"/>
      <c r="E14" s="12"/>
      <c r="F14" s="102"/>
      <c r="G14" s="45"/>
      <c r="H14" s="45"/>
      <c r="I14" s="45"/>
      <c r="J14" s="46"/>
      <c r="K14" s="98"/>
      <c r="L14" s="74"/>
      <c r="M14" s="74"/>
      <c r="N14" s="74"/>
      <c r="O14" s="74"/>
      <c r="P14" s="74"/>
    </row>
    <row r="15">
      <c r="A15" s="75"/>
      <c r="B15" s="100" t="s">
        <v>32</v>
      </c>
      <c r="C15" s="11"/>
      <c r="D15" s="11"/>
      <c r="E15" s="12"/>
      <c r="F15" s="102"/>
      <c r="G15" s="45"/>
      <c r="H15" s="45"/>
      <c r="I15" s="45"/>
      <c r="J15" s="46"/>
      <c r="K15" s="98"/>
      <c r="L15" s="74"/>
      <c r="M15" s="74"/>
      <c r="N15" s="74"/>
      <c r="O15" s="74"/>
      <c r="P15" s="74"/>
    </row>
    <row r="16">
      <c r="A16" s="71"/>
      <c r="B16" s="100" t="s">
        <v>33</v>
      </c>
      <c r="C16" s="11"/>
      <c r="D16" s="11"/>
      <c r="E16" s="12"/>
      <c r="F16" s="103"/>
      <c r="G16" s="103"/>
      <c r="H16" s="103"/>
      <c r="I16" s="103"/>
      <c r="J16" s="103"/>
      <c r="K16" s="98"/>
      <c r="L16" s="74"/>
      <c r="M16" s="74"/>
      <c r="N16" s="74"/>
      <c r="O16" s="74"/>
      <c r="P16" s="74"/>
    </row>
    <row r="17">
      <c r="A17" s="71"/>
      <c r="B17" s="100" t="s">
        <v>34</v>
      </c>
      <c r="C17" s="11"/>
      <c r="D17" s="11"/>
      <c r="E17" s="12"/>
      <c r="F17" s="95"/>
      <c r="G17" s="103"/>
      <c r="H17" s="103"/>
      <c r="I17" s="103"/>
      <c r="J17" s="103"/>
      <c r="K17" s="98"/>
      <c r="L17" s="74"/>
      <c r="M17" s="74"/>
      <c r="N17" s="74"/>
      <c r="O17" s="74"/>
      <c r="P17" s="74"/>
    </row>
    <row r="18">
      <c r="A18" s="71"/>
      <c r="B18" s="100" t="s">
        <v>35</v>
      </c>
      <c r="C18" s="11"/>
      <c r="D18" s="11"/>
      <c r="E18" s="12"/>
      <c r="F18" s="95"/>
      <c r="G18" s="103"/>
      <c r="H18" s="103"/>
      <c r="I18" s="103"/>
      <c r="J18" s="103"/>
      <c r="K18" s="98"/>
      <c r="L18" s="74"/>
      <c r="M18" s="74"/>
      <c r="N18" s="74"/>
      <c r="O18" s="74"/>
      <c r="P18" s="74"/>
    </row>
    <row r="19">
      <c r="A19" s="71"/>
      <c r="B19" s="100" t="s">
        <v>36</v>
      </c>
      <c r="C19" s="11"/>
      <c r="D19" s="11"/>
      <c r="E19" s="12"/>
      <c r="F19" s="95"/>
      <c r="G19" s="103"/>
      <c r="H19" s="103"/>
      <c r="I19" s="103"/>
      <c r="J19" s="103"/>
      <c r="K19" s="98"/>
      <c r="L19" s="74"/>
      <c r="M19" s="74"/>
      <c r="N19" s="74"/>
      <c r="O19" s="74"/>
      <c r="P19" s="74"/>
    </row>
    <row r="20">
      <c r="A20" s="71"/>
      <c r="B20" s="104" t="s">
        <v>37</v>
      </c>
      <c r="C20" s="11"/>
      <c r="D20" s="11"/>
      <c r="E20" s="12"/>
      <c r="F20" s="95"/>
      <c r="G20" s="103"/>
      <c r="H20" s="103"/>
      <c r="I20" s="103"/>
      <c r="J20" s="103"/>
      <c r="K20" s="98"/>
      <c r="L20" s="74"/>
      <c r="M20" s="74"/>
      <c r="N20" s="74"/>
      <c r="O20" s="74"/>
      <c r="P20" s="74"/>
    </row>
    <row r="21">
      <c r="A21" s="71"/>
      <c r="B21" s="104" t="s">
        <v>38</v>
      </c>
      <c r="C21" s="11"/>
      <c r="D21" s="11"/>
      <c r="E21" s="12"/>
      <c r="F21" s="95"/>
      <c r="G21" s="103"/>
      <c r="H21" s="103"/>
      <c r="I21" s="103"/>
      <c r="J21" s="103"/>
      <c r="K21" s="98"/>
      <c r="L21" s="74"/>
      <c r="M21" s="74"/>
      <c r="N21" s="74"/>
      <c r="O21" s="74"/>
      <c r="P21" s="74"/>
    </row>
    <row r="22">
      <c r="A22" s="71"/>
      <c r="B22" s="104" t="s">
        <v>39</v>
      </c>
      <c r="C22" s="11"/>
      <c r="D22" s="11"/>
      <c r="E22" s="12"/>
      <c r="F22" s="95"/>
      <c r="G22" s="103"/>
      <c r="H22" s="103"/>
      <c r="I22" s="103"/>
      <c r="J22" s="103"/>
      <c r="K22" s="98"/>
      <c r="L22" s="74"/>
      <c r="M22" s="74"/>
      <c r="N22" s="74"/>
      <c r="O22" s="74"/>
      <c r="P22" s="74"/>
    </row>
    <row r="23">
      <c r="A23" s="71"/>
      <c r="B23" s="104" t="s">
        <v>40</v>
      </c>
      <c r="C23" s="11"/>
      <c r="D23" s="11"/>
      <c r="E23" s="12"/>
      <c r="F23" s="105"/>
      <c r="G23" s="103"/>
      <c r="H23" s="103"/>
      <c r="I23" s="103"/>
      <c r="J23" s="103"/>
      <c r="K23" s="98"/>
      <c r="L23" s="74"/>
      <c r="M23" s="74"/>
      <c r="N23" s="74"/>
      <c r="O23" s="74"/>
      <c r="P23" s="74"/>
    </row>
    <row r="24">
      <c r="A24" s="71"/>
      <c r="B24" s="94"/>
      <c r="C24" s="95"/>
      <c r="D24" s="96"/>
      <c r="E24" s="97"/>
      <c r="F24" s="103"/>
      <c r="G24" s="103"/>
      <c r="H24" s="103"/>
      <c r="I24" s="103"/>
      <c r="J24" s="103"/>
      <c r="K24" s="98"/>
      <c r="L24" s="74"/>
      <c r="M24" s="74"/>
      <c r="N24" s="74"/>
      <c r="O24" s="74"/>
      <c r="P24" s="74"/>
    </row>
    <row r="25">
      <c r="A25" s="71"/>
      <c r="B25" s="94"/>
      <c r="C25" s="95"/>
      <c r="D25" s="96"/>
      <c r="E25" s="97"/>
      <c r="F25" s="103"/>
      <c r="G25" s="103"/>
      <c r="H25" s="103"/>
      <c r="I25" s="103"/>
      <c r="J25" s="103"/>
      <c r="K25" s="98"/>
      <c r="L25" s="74"/>
      <c r="M25" s="74"/>
      <c r="N25" s="74"/>
      <c r="O25" s="74"/>
      <c r="P25" s="74"/>
    </row>
  </sheetData>
  <mergeCells count="24">
    <mergeCell ref="B5:O5"/>
    <mergeCell ref="C6:D6"/>
    <mergeCell ref="B7:B8"/>
    <mergeCell ref="C7:C8"/>
    <mergeCell ref="G7:G8"/>
    <mergeCell ref="B9:G9"/>
    <mergeCell ref="F10:J10"/>
    <mergeCell ref="B11:E11"/>
    <mergeCell ref="B12:E12"/>
    <mergeCell ref="F12:J12"/>
    <mergeCell ref="B13:E13"/>
    <mergeCell ref="F13:J13"/>
    <mergeCell ref="B14:E14"/>
    <mergeCell ref="F14:J14"/>
    <mergeCell ref="B21:E21"/>
    <mergeCell ref="B22:E22"/>
    <mergeCell ref="B23:E23"/>
    <mergeCell ref="B15:E15"/>
    <mergeCell ref="F15:J15"/>
    <mergeCell ref="B16:E16"/>
    <mergeCell ref="B17:E17"/>
    <mergeCell ref="B18:E18"/>
    <mergeCell ref="B19:E19"/>
    <mergeCell ref="B20:E20"/>
  </mergeCells>
  <hyperlinks>
    <hyperlink r:id="rId1" ref="B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2" max="2" width="31.13"/>
  </cols>
  <sheetData>
    <row r="1">
      <c r="A1" s="71"/>
      <c r="B1" s="74"/>
      <c r="C1" s="74"/>
      <c r="D1" s="74"/>
      <c r="E1" s="74"/>
    </row>
    <row r="2">
      <c r="A2" s="67"/>
      <c r="B2" s="106" t="s">
        <v>0</v>
      </c>
      <c r="C2" s="70"/>
      <c r="D2" s="70"/>
      <c r="E2" s="74"/>
    </row>
    <row r="3">
      <c r="A3" s="71"/>
      <c r="B3" s="106" t="s">
        <v>1</v>
      </c>
      <c r="C3" s="70"/>
      <c r="D3" s="70"/>
      <c r="E3" s="74"/>
    </row>
    <row r="4">
      <c r="A4" s="71"/>
      <c r="B4" s="106" t="s">
        <v>2</v>
      </c>
      <c r="C4" s="70"/>
      <c r="D4" s="70"/>
      <c r="E4" s="74"/>
    </row>
    <row r="5">
      <c r="A5" s="71"/>
      <c r="B5" s="107" t="s">
        <v>65</v>
      </c>
      <c r="C5" s="74"/>
      <c r="D5" s="74"/>
      <c r="E5" s="74"/>
    </row>
    <row r="6">
      <c r="A6" s="77"/>
      <c r="B6" s="108" t="s">
        <v>41</v>
      </c>
      <c r="C6" s="108" t="s">
        <v>42</v>
      </c>
      <c r="D6" s="77"/>
      <c r="E6" s="74"/>
    </row>
    <row r="7">
      <c r="A7" s="77"/>
      <c r="B7" s="109" t="s">
        <v>43</v>
      </c>
      <c r="C7" s="110">
        <v>2912.0</v>
      </c>
      <c r="D7" s="77"/>
      <c r="E7" s="74"/>
    </row>
    <row r="8">
      <c r="A8" s="77"/>
      <c r="B8" s="109" t="s">
        <v>67</v>
      </c>
      <c r="C8" s="110">
        <v>1535.0</v>
      </c>
      <c r="D8" s="77"/>
      <c r="E8" s="74"/>
    </row>
    <row r="9">
      <c r="A9" s="77"/>
      <c r="B9" s="109" t="s">
        <v>45</v>
      </c>
      <c r="C9" s="110">
        <v>1178.0</v>
      </c>
      <c r="D9" s="77"/>
      <c r="E9" s="74"/>
    </row>
    <row r="10">
      <c r="A10" s="77"/>
      <c r="B10" s="109" t="s">
        <v>68</v>
      </c>
      <c r="C10" s="110">
        <v>676.0</v>
      </c>
      <c r="D10" s="77"/>
      <c r="E10" s="74"/>
    </row>
    <row r="11">
      <c r="A11" s="77"/>
      <c r="B11" s="109" t="s">
        <v>46</v>
      </c>
      <c r="C11" s="110">
        <v>443.0</v>
      </c>
      <c r="D11" s="77"/>
      <c r="E11" s="74"/>
    </row>
    <row r="12">
      <c r="A12" s="77"/>
      <c r="B12" s="109" t="s">
        <v>69</v>
      </c>
      <c r="C12" s="110">
        <v>322.0</v>
      </c>
      <c r="D12" s="77"/>
      <c r="E12" s="74"/>
    </row>
    <row r="13">
      <c r="A13" s="77"/>
      <c r="B13" s="109" t="s">
        <v>48</v>
      </c>
      <c r="C13" s="110">
        <v>290.0</v>
      </c>
      <c r="D13" s="77"/>
      <c r="E13" s="74"/>
    </row>
    <row r="14">
      <c r="A14" s="77"/>
      <c r="B14" s="109" t="s">
        <v>70</v>
      </c>
      <c r="C14" s="110">
        <v>288.0</v>
      </c>
      <c r="D14" s="77"/>
      <c r="E14" s="74"/>
    </row>
    <row r="15">
      <c r="A15" s="77"/>
      <c r="B15" s="109" t="s">
        <v>71</v>
      </c>
      <c r="C15" s="110">
        <v>252.0</v>
      </c>
      <c r="D15" s="77"/>
      <c r="E15" s="74"/>
    </row>
    <row r="16">
      <c r="A16" s="77"/>
      <c r="B16" s="109" t="s">
        <v>72</v>
      </c>
      <c r="C16" s="110">
        <v>244.0</v>
      </c>
      <c r="D16" s="77"/>
      <c r="E16" s="74"/>
    </row>
    <row r="17">
      <c r="A17" s="77"/>
      <c r="B17" s="109" t="s">
        <v>73</v>
      </c>
      <c r="C17" s="110">
        <v>230.0</v>
      </c>
      <c r="D17" s="77"/>
      <c r="E17" s="74"/>
    </row>
    <row r="18">
      <c r="A18" s="77"/>
      <c r="B18" s="109" t="s">
        <v>74</v>
      </c>
      <c r="C18" s="110">
        <v>220.0</v>
      </c>
      <c r="D18" s="77"/>
      <c r="E18" s="74"/>
    </row>
    <row r="19">
      <c r="A19" s="77"/>
      <c r="B19" s="109" t="s">
        <v>75</v>
      </c>
      <c r="C19" s="110">
        <v>207.0</v>
      </c>
      <c r="D19" s="77"/>
      <c r="E19" s="74"/>
    </row>
    <row r="20">
      <c r="A20" s="77"/>
      <c r="B20" s="109" t="s">
        <v>76</v>
      </c>
      <c r="C20" s="110">
        <v>168.0</v>
      </c>
      <c r="D20" s="77"/>
      <c r="E20" s="74"/>
    </row>
    <row r="21">
      <c r="A21" s="77"/>
      <c r="B21" s="109" t="s">
        <v>77</v>
      </c>
      <c r="C21" s="110">
        <v>165.0</v>
      </c>
      <c r="D21" s="77"/>
      <c r="E21" s="74"/>
    </row>
    <row r="22">
      <c r="A22" s="77"/>
      <c r="B22" s="109" t="s">
        <v>49</v>
      </c>
      <c r="C22" s="110">
        <v>155.0</v>
      </c>
      <c r="D22" s="77"/>
      <c r="E22" s="74"/>
    </row>
    <row r="23">
      <c r="A23" s="77"/>
      <c r="B23" s="109" t="s">
        <v>78</v>
      </c>
      <c r="C23" s="110">
        <v>138.0</v>
      </c>
      <c r="D23" s="77"/>
      <c r="E23" s="74"/>
    </row>
    <row r="24">
      <c r="A24" s="77"/>
      <c r="B24" s="109" t="s">
        <v>79</v>
      </c>
      <c r="C24" s="110">
        <v>137.0</v>
      </c>
      <c r="D24" s="77"/>
      <c r="E24" s="74"/>
    </row>
    <row r="25">
      <c r="A25" s="77"/>
      <c r="B25" s="109" t="s">
        <v>52</v>
      </c>
      <c r="C25" s="110">
        <v>120.0</v>
      </c>
      <c r="D25" s="77"/>
      <c r="E25" s="74"/>
    </row>
    <row r="26">
      <c r="A26" s="77"/>
      <c r="B26" s="109" t="s">
        <v>51</v>
      </c>
      <c r="C26" s="110">
        <v>115.0</v>
      </c>
      <c r="D26" s="77"/>
      <c r="E26" s="74"/>
    </row>
    <row r="27">
      <c r="A27" s="77"/>
      <c r="B27" s="109" t="s">
        <v>56</v>
      </c>
      <c r="C27" s="110">
        <v>111.0</v>
      </c>
      <c r="D27" s="77"/>
      <c r="E27" s="74"/>
    </row>
    <row r="28">
      <c r="A28" s="77"/>
      <c r="B28" s="109" t="s">
        <v>80</v>
      </c>
      <c r="C28" s="110">
        <v>81.0</v>
      </c>
      <c r="D28" s="77"/>
      <c r="E28" s="74"/>
    </row>
    <row r="29">
      <c r="A29" s="77"/>
      <c r="B29" s="109" t="s">
        <v>81</v>
      </c>
      <c r="C29" s="110">
        <v>80.0</v>
      </c>
      <c r="D29" s="77"/>
      <c r="E29" s="74"/>
    </row>
    <row r="30">
      <c r="A30" s="77"/>
      <c r="B30" s="111"/>
      <c r="C30" s="111"/>
      <c r="D30" s="77"/>
      <c r="E30" s="74"/>
    </row>
    <row r="31">
      <c r="A31" s="77"/>
      <c r="B31" s="111"/>
      <c r="C31" s="111"/>
      <c r="D31" s="77"/>
      <c r="E31" s="74"/>
    </row>
    <row r="32">
      <c r="A32" s="77"/>
      <c r="B32" s="111"/>
      <c r="C32" s="111"/>
      <c r="D32" s="77"/>
      <c r="E32" s="74"/>
    </row>
    <row r="33">
      <c r="A33" s="77"/>
      <c r="B33" s="111"/>
      <c r="C33" s="111"/>
      <c r="D33" s="77"/>
      <c r="E33" s="74"/>
    </row>
    <row r="34">
      <c r="A34" s="77"/>
      <c r="B34" s="111"/>
      <c r="C34" s="111"/>
      <c r="D34" s="77"/>
      <c r="E34" s="74"/>
    </row>
    <row r="35">
      <c r="A35" s="77"/>
      <c r="B35" s="111"/>
      <c r="C35" s="111"/>
      <c r="D35" s="77"/>
      <c r="E35" s="74"/>
    </row>
    <row r="36">
      <c r="A36" s="77"/>
      <c r="B36" s="111"/>
      <c r="C36" s="111"/>
      <c r="D36" s="77"/>
      <c r="E36" s="74"/>
    </row>
    <row r="37">
      <c r="A37" s="77"/>
      <c r="B37" s="111"/>
      <c r="C37" s="111"/>
      <c r="D37" s="77"/>
      <c r="E37" s="74"/>
    </row>
    <row r="38">
      <c r="A38" s="77"/>
      <c r="B38" s="111"/>
      <c r="C38" s="111"/>
      <c r="D38" s="77"/>
      <c r="E38" s="74"/>
    </row>
    <row r="39">
      <c r="A39" s="77"/>
      <c r="B39" s="111"/>
      <c r="C39" s="111"/>
      <c r="D39" s="77"/>
      <c r="E39" s="74"/>
    </row>
    <row r="40">
      <c r="A40" s="77"/>
      <c r="B40" s="111"/>
      <c r="C40" s="111"/>
      <c r="D40" s="77"/>
      <c r="E40" s="74"/>
    </row>
    <row r="41">
      <c r="A41" s="77"/>
      <c r="B41" s="111"/>
      <c r="C41" s="111"/>
      <c r="D41" s="77"/>
      <c r="E41" s="74"/>
    </row>
    <row r="42">
      <c r="A42" s="77"/>
      <c r="B42" s="111"/>
      <c r="C42" s="111"/>
      <c r="D42" s="77"/>
      <c r="E42" s="74"/>
    </row>
    <row r="43">
      <c r="A43" s="77"/>
      <c r="B43" s="111"/>
      <c r="C43" s="111"/>
      <c r="D43" s="77"/>
      <c r="E43" s="74"/>
    </row>
    <row r="44">
      <c r="A44" s="77"/>
      <c r="B44" s="111"/>
      <c r="C44" s="111"/>
      <c r="D44" s="77"/>
      <c r="E44" s="74"/>
    </row>
    <row r="45">
      <c r="A45" s="77"/>
      <c r="B45" s="111"/>
      <c r="C45" s="111"/>
      <c r="D45" s="77"/>
      <c r="E45" s="74"/>
    </row>
    <row r="46">
      <c r="A46" s="77"/>
      <c r="B46" s="111"/>
      <c r="C46" s="111"/>
      <c r="D46" s="77"/>
      <c r="E46" s="74"/>
    </row>
    <row r="47">
      <c r="A47" s="77"/>
      <c r="B47" s="111"/>
      <c r="C47" s="111"/>
      <c r="D47" s="77"/>
      <c r="E47" s="74"/>
    </row>
    <row r="48">
      <c r="A48" s="77"/>
      <c r="B48" s="111"/>
      <c r="C48" s="111"/>
      <c r="D48" s="77"/>
      <c r="E48" s="74"/>
    </row>
    <row r="49">
      <c r="A49" s="77"/>
      <c r="B49" s="111"/>
      <c r="C49" s="111"/>
      <c r="D49" s="77"/>
      <c r="E49" s="74"/>
    </row>
    <row r="50">
      <c r="A50" s="77"/>
      <c r="B50" s="111"/>
      <c r="C50" s="111"/>
      <c r="D50" s="77"/>
      <c r="E50" s="74"/>
    </row>
    <row r="51">
      <c r="A51" s="77"/>
      <c r="B51" s="111"/>
      <c r="C51" s="111"/>
      <c r="D51" s="77"/>
      <c r="E51" s="74"/>
    </row>
    <row r="52">
      <c r="A52" s="77"/>
      <c r="B52" s="111"/>
      <c r="C52" s="111"/>
      <c r="D52" s="77"/>
      <c r="E52" s="74"/>
    </row>
    <row r="53">
      <c r="A53" s="77"/>
      <c r="B53" s="111"/>
      <c r="C53" s="111"/>
      <c r="D53" s="77"/>
      <c r="E53" s="74"/>
    </row>
    <row r="54">
      <c r="A54" s="77"/>
      <c r="B54" s="111"/>
      <c r="C54" s="111"/>
      <c r="D54" s="77"/>
      <c r="E54" s="74"/>
    </row>
    <row r="55">
      <c r="A55" s="77"/>
      <c r="B55" s="111"/>
      <c r="C55" s="111"/>
      <c r="D55" s="77"/>
      <c r="E55" s="74"/>
    </row>
    <row r="56">
      <c r="A56" s="77"/>
      <c r="B56" s="111"/>
      <c r="C56" s="111"/>
      <c r="D56" s="77"/>
      <c r="E56" s="74"/>
    </row>
    <row r="57">
      <c r="A57" s="77"/>
      <c r="B57" s="111"/>
      <c r="C57" s="111"/>
      <c r="D57" s="77"/>
      <c r="E57" s="74"/>
    </row>
    <row r="58">
      <c r="A58" s="77"/>
      <c r="B58" s="111"/>
      <c r="C58" s="111"/>
      <c r="D58" s="77"/>
      <c r="E58" s="74"/>
    </row>
    <row r="59">
      <c r="A59" s="77"/>
      <c r="B59" s="111"/>
      <c r="C59" s="111"/>
      <c r="D59" s="77"/>
      <c r="E59" s="74"/>
    </row>
    <row r="60">
      <c r="A60" s="77"/>
      <c r="B60" s="111"/>
      <c r="C60" s="111"/>
      <c r="D60" s="77"/>
      <c r="E60" s="74"/>
    </row>
    <row r="61">
      <c r="A61" s="77"/>
      <c r="B61" s="111"/>
      <c r="C61" s="111"/>
      <c r="D61" s="77"/>
      <c r="E61" s="74"/>
    </row>
    <row r="62">
      <c r="A62" s="77"/>
      <c r="B62" s="111"/>
      <c r="C62" s="111"/>
      <c r="D62" s="77"/>
      <c r="E62" s="74"/>
    </row>
    <row r="63">
      <c r="A63" s="77"/>
      <c r="B63" s="111"/>
      <c r="C63" s="111"/>
      <c r="D63" s="77"/>
      <c r="E63" s="74"/>
    </row>
    <row r="64">
      <c r="A64" s="77"/>
      <c r="B64" s="111"/>
      <c r="C64" s="111"/>
      <c r="D64" s="77"/>
      <c r="E64" s="74"/>
    </row>
    <row r="65">
      <c r="A65" s="77"/>
      <c r="B65" s="111"/>
      <c r="C65" s="111"/>
      <c r="D65" s="77"/>
      <c r="E65" s="74"/>
    </row>
    <row r="66">
      <c r="A66" s="77"/>
      <c r="B66" s="111"/>
      <c r="C66" s="111"/>
      <c r="D66" s="77"/>
      <c r="E66" s="74"/>
    </row>
    <row r="67">
      <c r="A67" s="77"/>
      <c r="B67" s="111"/>
      <c r="C67" s="111"/>
      <c r="D67" s="77"/>
      <c r="E67" s="74"/>
    </row>
    <row r="68">
      <c r="A68" s="77"/>
      <c r="B68" s="111"/>
      <c r="C68" s="111"/>
      <c r="D68" s="77"/>
      <c r="E68" s="74"/>
    </row>
    <row r="69">
      <c r="A69" s="77"/>
      <c r="B69" s="111"/>
      <c r="C69" s="111"/>
      <c r="D69" s="77"/>
      <c r="E69" s="74"/>
    </row>
    <row r="70">
      <c r="A70" s="77"/>
      <c r="B70" s="111"/>
      <c r="C70" s="111"/>
      <c r="D70" s="77"/>
      <c r="E70" s="74"/>
    </row>
    <row r="71">
      <c r="A71" s="77"/>
      <c r="B71" s="111"/>
      <c r="C71" s="111"/>
      <c r="D71" s="77"/>
      <c r="E71" s="74"/>
    </row>
    <row r="72">
      <c r="A72" s="77"/>
      <c r="B72" s="111"/>
      <c r="C72" s="111"/>
      <c r="D72" s="77"/>
      <c r="E72" s="74"/>
    </row>
    <row r="73">
      <c r="A73" s="77"/>
      <c r="B73" s="111"/>
      <c r="C73" s="111"/>
      <c r="D73" s="77"/>
      <c r="E73" s="74"/>
    </row>
    <row r="74">
      <c r="A74" s="77"/>
      <c r="B74" s="111"/>
      <c r="C74" s="111"/>
      <c r="D74" s="77"/>
      <c r="E74" s="74"/>
    </row>
    <row r="75">
      <c r="A75" s="77"/>
      <c r="B75" s="111"/>
      <c r="C75" s="111"/>
      <c r="D75" s="77"/>
      <c r="E75" s="74"/>
    </row>
    <row r="76">
      <c r="A76" s="77"/>
      <c r="B76" s="111"/>
      <c r="C76" s="111"/>
      <c r="D76" s="77"/>
      <c r="E76" s="74"/>
    </row>
    <row r="77">
      <c r="A77" s="77"/>
      <c r="B77" s="111"/>
      <c r="C77" s="111"/>
      <c r="D77" s="77"/>
      <c r="E77" s="74"/>
    </row>
    <row r="78">
      <c r="A78" s="77"/>
      <c r="B78" s="111"/>
      <c r="C78" s="111"/>
      <c r="D78" s="77"/>
      <c r="E78" s="74"/>
    </row>
    <row r="79">
      <c r="A79" s="77"/>
      <c r="B79" s="111"/>
      <c r="C79" s="111"/>
      <c r="D79" s="77"/>
      <c r="E79" s="74"/>
    </row>
    <row r="80">
      <c r="A80" s="77"/>
      <c r="B80" s="111"/>
      <c r="C80" s="111"/>
      <c r="D80" s="77"/>
      <c r="E80" s="74"/>
    </row>
    <row r="81">
      <c r="A81" s="77"/>
      <c r="B81" s="111"/>
      <c r="C81" s="111"/>
      <c r="D81" s="77"/>
      <c r="E81" s="74"/>
    </row>
    <row r="82">
      <c r="A82" s="77"/>
      <c r="B82" s="111"/>
      <c r="C82" s="111"/>
      <c r="D82" s="77"/>
      <c r="E82" s="74"/>
    </row>
    <row r="83">
      <c r="A83" s="77"/>
      <c r="B83" s="111"/>
      <c r="C83" s="111"/>
      <c r="D83" s="77"/>
      <c r="E83" s="74"/>
    </row>
    <row r="84">
      <c r="A84" s="77"/>
      <c r="B84" s="111"/>
      <c r="C84" s="111"/>
      <c r="D84" s="77"/>
      <c r="E84" s="74"/>
    </row>
    <row r="85">
      <c r="A85" s="77"/>
      <c r="B85" s="111"/>
      <c r="C85" s="111"/>
      <c r="D85" s="77"/>
      <c r="E85" s="74"/>
    </row>
    <row r="86">
      <c r="A86" s="77"/>
      <c r="B86" s="111"/>
      <c r="C86" s="111"/>
      <c r="D86" s="77"/>
      <c r="E86" s="74"/>
    </row>
    <row r="87">
      <c r="A87" s="77"/>
      <c r="B87" s="111"/>
      <c r="C87" s="111"/>
      <c r="D87" s="77"/>
      <c r="E87" s="74"/>
    </row>
    <row r="88">
      <c r="A88" s="77"/>
      <c r="B88" s="111"/>
      <c r="C88" s="111"/>
      <c r="D88" s="77"/>
      <c r="E88" s="74"/>
    </row>
    <row r="89">
      <c r="A89" s="77"/>
      <c r="B89" s="111"/>
      <c r="C89" s="111"/>
      <c r="D89" s="77"/>
      <c r="E89" s="74"/>
    </row>
    <row r="90">
      <c r="A90" s="77"/>
      <c r="B90" s="111"/>
      <c r="C90" s="111"/>
      <c r="D90" s="77"/>
      <c r="E90" s="74"/>
    </row>
    <row r="91">
      <c r="A91" s="77"/>
      <c r="B91" s="111"/>
      <c r="C91" s="111"/>
      <c r="D91" s="77"/>
      <c r="E91" s="74"/>
    </row>
    <row r="92">
      <c r="A92" s="77"/>
      <c r="B92" s="111"/>
      <c r="C92" s="111"/>
      <c r="D92" s="77"/>
      <c r="E92" s="74"/>
    </row>
    <row r="93">
      <c r="A93" s="77"/>
      <c r="B93" s="111"/>
      <c r="C93" s="111"/>
      <c r="D93" s="77"/>
      <c r="E93" s="74"/>
    </row>
    <row r="94">
      <c r="A94" s="77"/>
      <c r="B94" s="111"/>
      <c r="C94" s="111"/>
      <c r="D94" s="77"/>
      <c r="E94" s="74"/>
    </row>
    <row r="95">
      <c r="A95" s="77"/>
      <c r="B95" s="111"/>
      <c r="C95" s="111"/>
      <c r="D95" s="77"/>
      <c r="E95" s="74"/>
    </row>
    <row r="96">
      <c r="A96" s="77"/>
      <c r="B96" s="111"/>
      <c r="C96" s="111"/>
      <c r="D96" s="77"/>
      <c r="E96" s="74"/>
    </row>
    <row r="97">
      <c r="A97" s="77"/>
      <c r="B97" s="111"/>
      <c r="C97" s="111"/>
      <c r="D97" s="77"/>
      <c r="E97" s="74"/>
    </row>
    <row r="98">
      <c r="A98" s="77"/>
      <c r="B98" s="111"/>
      <c r="C98" s="111"/>
      <c r="D98" s="77"/>
      <c r="E98" s="74"/>
    </row>
    <row r="99">
      <c r="A99" s="77"/>
      <c r="B99" s="111"/>
      <c r="C99" s="111"/>
      <c r="D99" s="77"/>
      <c r="E99" s="74"/>
    </row>
    <row r="100">
      <c r="A100" s="77"/>
      <c r="B100" s="111"/>
      <c r="C100" s="111"/>
      <c r="D100" s="77"/>
      <c r="E100" s="74"/>
    </row>
    <row r="101">
      <c r="A101" s="77"/>
      <c r="B101" s="111"/>
      <c r="C101" s="111"/>
      <c r="D101" s="77"/>
      <c r="E101" s="74"/>
    </row>
    <row r="102">
      <c r="A102" s="77"/>
      <c r="B102" s="111"/>
      <c r="C102" s="111"/>
      <c r="D102" s="77"/>
      <c r="E102" s="74"/>
    </row>
    <row r="103">
      <c r="A103" s="77"/>
      <c r="B103" s="111"/>
      <c r="C103" s="111"/>
      <c r="D103" s="77"/>
      <c r="E103" s="7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2" max="2" width="29.0"/>
  </cols>
  <sheetData>
    <row r="1">
      <c r="A1" s="67"/>
      <c r="B1" s="68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>
      <c r="A2" s="71"/>
      <c r="B2" s="68" t="s">
        <v>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>
      <c r="A3" s="71"/>
      <c r="B3" s="68" t="s">
        <v>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>
      <c r="A4" s="71"/>
      <c r="B4" s="72" t="s">
        <v>82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4"/>
    </row>
    <row r="5">
      <c r="A5" s="75"/>
      <c r="B5" s="76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77"/>
    </row>
    <row r="6">
      <c r="A6" s="75"/>
      <c r="B6" s="78" t="s">
        <v>5</v>
      </c>
      <c r="C6" s="79" t="s">
        <v>6</v>
      </c>
      <c r="D6" s="12"/>
      <c r="E6" s="78" t="s">
        <v>7</v>
      </c>
      <c r="F6" s="78" t="s">
        <v>8</v>
      </c>
      <c r="G6" s="78" t="s">
        <v>9</v>
      </c>
      <c r="H6" s="78" t="s">
        <v>10</v>
      </c>
      <c r="I6" s="78" t="s">
        <v>11</v>
      </c>
      <c r="J6" s="78" t="s">
        <v>12</v>
      </c>
      <c r="K6" s="78" t="s">
        <v>13</v>
      </c>
      <c r="L6" s="78" t="s">
        <v>14</v>
      </c>
      <c r="M6" s="78" t="s">
        <v>15</v>
      </c>
      <c r="N6" s="78" t="s">
        <v>16</v>
      </c>
      <c r="O6" s="78" t="s">
        <v>17</v>
      </c>
      <c r="P6" s="77"/>
    </row>
    <row r="7">
      <c r="A7" s="75"/>
      <c r="B7" s="80" t="s">
        <v>83</v>
      </c>
      <c r="C7" s="81" t="s">
        <v>19</v>
      </c>
      <c r="D7" s="82" t="s">
        <v>20</v>
      </c>
      <c r="E7" s="82" t="s">
        <v>21</v>
      </c>
      <c r="F7" s="82" t="s">
        <v>22</v>
      </c>
      <c r="G7" s="81" t="s">
        <v>23</v>
      </c>
      <c r="H7" s="83">
        <v>6851.0</v>
      </c>
      <c r="I7" s="84">
        <f t="shared" ref="I7:I8" si="1">J7/H7*100</f>
        <v>12.80105094</v>
      </c>
      <c r="J7" s="83">
        <v>877.0</v>
      </c>
      <c r="K7" s="85">
        <f t="shared" ref="K7:K9" si="2">O7/J7</f>
        <v>39.90877993</v>
      </c>
      <c r="L7" s="86">
        <v>0.025</v>
      </c>
      <c r="M7" s="87">
        <f t="shared" ref="M7:M8" si="3">J7*L7</f>
        <v>21.925</v>
      </c>
      <c r="N7" s="85">
        <f t="shared" ref="N7:N8" si="4">O7/M7</f>
        <v>1596.351197</v>
      </c>
      <c r="O7" s="88">
        <v>35000.0</v>
      </c>
      <c r="P7" s="77"/>
    </row>
    <row r="8">
      <c r="A8" s="75"/>
      <c r="B8" s="26"/>
      <c r="C8" s="26"/>
      <c r="D8" s="82" t="s">
        <v>24</v>
      </c>
      <c r="E8" s="82" t="s">
        <v>25</v>
      </c>
      <c r="F8" s="82" t="s">
        <v>26</v>
      </c>
      <c r="G8" s="26"/>
      <c r="H8" s="83">
        <v>104135.0</v>
      </c>
      <c r="I8" s="89">
        <f t="shared" si="1"/>
        <v>1.664185913</v>
      </c>
      <c r="J8" s="83">
        <v>1733.0</v>
      </c>
      <c r="K8" s="85">
        <f t="shared" si="2"/>
        <v>11.5406809</v>
      </c>
      <c r="L8" s="86">
        <v>0.01</v>
      </c>
      <c r="M8" s="87">
        <f t="shared" si="3"/>
        <v>17.33</v>
      </c>
      <c r="N8" s="85">
        <f t="shared" si="4"/>
        <v>1154.06809</v>
      </c>
      <c r="O8" s="88">
        <v>20000.0</v>
      </c>
      <c r="P8" s="77"/>
    </row>
    <row r="9">
      <c r="A9" s="75"/>
      <c r="B9" s="79" t="s">
        <v>27</v>
      </c>
      <c r="C9" s="11"/>
      <c r="D9" s="11"/>
      <c r="E9" s="11"/>
      <c r="F9" s="11"/>
      <c r="G9" s="12"/>
      <c r="H9" s="90">
        <f>SUM(H7:H8)</f>
        <v>110986</v>
      </c>
      <c r="I9" s="91">
        <f>AVERAGE(I7:I8)</f>
        <v>7.232618427</v>
      </c>
      <c r="J9" s="90">
        <f>SUM(J7:J8)</f>
        <v>2610</v>
      </c>
      <c r="K9" s="92">
        <f t="shared" si="2"/>
        <v>21.07279693</v>
      </c>
      <c r="L9" s="93">
        <f>M9/J9*1</f>
        <v>0.01504022989</v>
      </c>
      <c r="M9" s="90">
        <f>SUM(M7:M8)</f>
        <v>39.255</v>
      </c>
      <c r="N9" s="92">
        <f>AVERAGE(N7:N8)</f>
        <v>1375.209644</v>
      </c>
      <c r="O9" s="92">
        <f>SUM(O7:O8)</f>
        <v>55000</v>
      </c>
      <c r="P9" s="77"/>
    </row>
    <row r="10">
      <c r="A10" s="71"/>
      <c r="B10" s="94"/>
      <c r="C10" s="95"/>
      <c r="D10" s="96"/>
      <c r="E10" s="97"/>
      <c r="F10" s="96"/>
      <c r="J10" s="36"/>
      <c r="K10" s="98"/>
      <c r="L10" s="74"/>
      <c r="M10" s="74"/>
      <c r="N10" s="74"/>
      <c r="O10" s="74"/>
      <c r="P10" s="74"/>
    </row>
    <row r="11">
      <c r="A11" s="75"/>
      <c r="B11" s="99" t="s">
        <v>28</v>
      </c>
      <c r="C11" s="11"/>
      <c r="D11" s="11"/>
      <c r="E11" s="12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74"/>
    </row>
    <row r="12">
      <c r="A12" s="75"/>
      <c r="B12" s="100" t="s">
        <v>29</v>
      </c>
      <c r="C12" s="11"/>
      <c r="D12" s="11"/>
      <c r="E12" s="12"/>
      <c r="F12" s="101"/>
      <c r="G12" s="42"/>
      <c r="H12" s="42"/>
      <c r="I12" s="42"/>
      <c r="J12" s="43"/>
      <c r="K12" s="98"/>
      <c r="L12" s="74"/>
      <c r="M12" s="74"/>
      <c r="N12" s="74"/>
      <c r="O12" s="74"/>
      <c r="P12" s="74"/>
    </row>
    <row r="13">
      <c r="A13" s="75"/>
      <c r="B13" s="100" t="s">
        <v>30</v>
      </c>
      <c r="C13" s="11"/>
      <c r="D13" s="11"/>
      <c r="E13" s="12"/>
      <c r="F13" s="102"/>
      <c r="G13" s="45"/>
      <c r="H13" s="45"/>
      <c r="I13" s="45"/>
      <c r="J13" s="46"/>
      <c r="K13" s="98"/>
      <c r="L13" s="74"/>
      <c r="M13" s="74"/>
      <c r="N13" s="74"/>
      <c r="O13" s="74"/>
      <c r="P13" s="74"/>
    </row>
    <row r="14">
      <c r="A14" s="75"/>
      <c r="B14" s="100" t="s">
        <v>31</v>
      </c>
      <c r="C14" s="11"/>
      <c r="D14" s="11"/>
      <c r="E14" s="12"/>
      <c r="F14" s="102"/>
      <c r="G14" s="45"/>
      <c r="H14" s="45"/>
      <c r="I14" s="45"/>
      <c r="J14" s="46"/>
      <c r="K14" s="98"/>
      <c r="L14" s="74"/>
      <c r="M14" s="74"/>
      <c r="N14" s="74"/>
      <c r="O14" s="74"/>
      <c r="P14" s="74"/>
    </row>
    <row r="15">
      <c r="A15" s="75"/>
      <c r="B15" s="100" t="s">
        <v>32</v>
      </c>
      <c r="C15" s="11"/>
      <c r="D15" s="11"/>
      <c r="E15" s="12"/>
      <c r="F15" s="102"/>
      <c r="G15" s="45"/>
      <c r="H15" s="45"/>
      <c r="I15" s="45"/>
      <c r="J15" s="46"/>
      <c r="K15" s="98"/>
      <c r="L15" s="74"/>
      <c r="M15" s="74"/>
      <c r="N15" s="74"/>
      <c r="O15" s="74"/>
      <c r="P15" s="74"/>
    </row>
    <row r="16">
      <c r="A16" s="71"/>
      <c r="B16" s="100" t="s">
        <v>33</v>
      </c>
      <c r="C16" s="11"/>
      <c r="D16" s="11"/>
      <c r="E16" s="12"/>
      <c r="F16" s="103"/>
      <c r="G16" s="103"/>
      <c r="H16" s="103"/>
      <c r="I16" s="103"/>
      <c r="J16" s="103"/>
      <c r="K16" s="98"/>
      <c r="L16" s="74"/>
      <c r="M16" s="74"/>
      <c r="N16" s="74"/>
      <c r="O16" s="74"/>
      <c r="P16" s="74"/>
    </row>
    <row r="17">
      <c r="A17" s="71"/>
      <c r="B17" s="100" t="s">
        <v>34</v>
      </c>
      <c r="C17" s="11"/>
      <c r="D17" s="11"/>
      <c r="E17" s="12"/>
      <c r="F17" s="95"/>
      <c r="G17" s="103"/>
      <c r="H17" s="103"/>
      <c r="I17" s="103"/>
      <c r="J17" s="103"/>
      <c r="K17" s="98"/>
      <c r="L17" s="74"/>
      <c r="M17" s="74"/>
      <c r="N17" s="74"/>
      <c r="O17" s="74"/>
      <c r="P17" s="74"/>
    </row>
    <row r="18">
      <c r="A18" s="71"/>
      <c r="B18" s="100" t="s">
        <v>35</v>
      </c>
      <c r="C18" s="11"/>
      <c r="D18" s="11"/>
      <c r="E18" s="12"/>
      <c r="F18" s="95"/>
      <c r="G18" s="103"/>
      <c r="H18" s="103"/>
      <c r="I18" s="103"/>
      <c r="J18" s="103"/>
      <c r="K18" s="98"/>
      <c r="L18" s="74"/>
      <c r="M18" s="74"/>
      <c r="N18" s="74"/>
      <c r="O18" s="74"/>
      <c r="P18" s="74"/>
    </row>
    <row r="19">
      <c r="A19" s="71"/>
      <c r="B19" s="100" t="s">
        <v>36</v>
      </c>
      <c r="C19" s="11"/>
      <c r="D19" s="11"/>
      <c r="E19" s="12"/>
      <c r="F19" s="95"/>
      <c r="G19" s="103"/>
      <c r="H19" s="103"/>
      <c r="I19" s="103"/>
      <c r="J19" s="103"/>
      <c r="K19" s="98"/>
      <c r="L19" s="74"/>
      <c r="M19" s="74"/>
      <c r="N19" s="74"/>
      <c r="O19" s="74"/>
      <c r="P19" s="74"/>
    </row>
    <row r="20">
      <c r="A20" s="71"/>
      <c r="B20" s="104" t="s">
        <v>37</v>
      </c>
      <c r="C20" s="11"/>
      <c r="D20" s="11"/>
      <c r="E20" s="12"/>
      <c r="F20" s="95"/>
      <c r="G20" s="103"/>
      <c r="H20" s="103"/>
      <c r="I20" s="103"/>
      <c r="J20" s="103"/>
      <c r="K20" s="98"/>
      <c r="L20" s="74"/>
      <c r="M20" s="74"/>
      <c r="N20" s="74"/>
      <c r="O20" s="74"/>
      <c r="P20" s="74"/>
    </row>
    <row r="21">
      <c r="A21" s="71"/>
      <c r="B21" s="104" t="s">
        <v>38</v>
      </c>
      <c r="C21" s="11"/>
      <c r="D21" s="11"/>
      <c r="E21" s="12"/>
      <c r="F21" s="95"/>
      <c r="G21" s="103"/>
      <c r="H21" s="103"/>
      <c r="I21" s="103"/>
      <c r="J21" s="103"/>
      <c r="K21" s="98"/>
      <c r="L21" s="74"/>
      <c r="M21" s="74"/>
      <c r="N21" s="74"/>
      <c r="O21" s="74"/>
      <c r="P21" s="74"/>
    </row>
    <row r="22">
      <c r="A22" s="71"/>
      <c r="B22" s="104" t="s">
        <v>39</v>
      </c>
      <c r="C22" s="11"/>
      <c r="D22" s="11"/>
      <c r="E22" s="12"/>
      <c r="F22" s="95"/>
      <c r="G22" s="103"/>
      <c r="H22" s="103"/>
      <c r="I22" s="103"/>
      <c r="J22" s="103"/>
      <c r="K22" s="98"/>
      <c r="L22" s="74"/>
      <c r="M22" s="74"/>
      <c r="N22" s="74"/>
      <c r="O22" s="74"/>
      <c r="P22" s="74"/>
    </row>
    <row r="23">
      <c r="A23" s="71"/>
      <c r="B23" s="104" t="s">
        <v>40</v>
      </c>
      <c r="C23" s="11"/>
      <c r="D23" s="11"/>
      <c r="E23" s="12"/>
      <c r="F23" s="105"/>
      <c r="G23" s="103"/>
      <c r="H23" s="103"/>
      <c r="I23" s="103"/>
      <c r="J23" s="103"/>
      <c r="K23" s="98"/>
      <c r="L23" s="74"/>
      <c r="M23" s="74"/>
      <c r="N23" s="74"/>
      <c r="O23" s="74"/>
      <c r="P23" s="74"/>
    </row>
    <row r="24">
      <c r="A24" s="71"/>
      <c r="B24" s="94"/>
      <c r="C24" s="95"/>
      <c r="D24" s="96"/>
      <c r="E24" s="97"/>
      <c r="F24" s="103"/>
      <c r="G24" s="103"/>
      <c r="H24" s="103"/>
      <c r="I24" s="103"/>
      <c r="J24" s="103"/>
      <c r="K24" s="98"/>
      <c r="L24" s="74"/>
      <c r="M24" s="74"/>
      <c r="N24" s="74"/>
      <c r="O24" s="74"/>
      <c r="P24" s="74"/>
    </row>
    <row r="25">
      <c r="A25" s="71"/>
      <c r="B25" s="94"/>
      <c r="C25" s="95"/>
      <c r="D25" s="96"/>
      <c r="E25" s="97"/>
      <c r="F25" s="103"/>
      <c r="G25" s="103"/>
      <c r="H25" s="103"/>
      <c r="I25" s="103"/>
      <c r="J25" s="103"/>
      <c r="K25" s="98"/>
      <c r="L25" s="74"/>
      <c r="M25" s="74"/>
      <c r="N25" s="74"/>
      <c r="O25" s="74"/>
      <c r="P25" s="74"/>
    </row>
    <row r="26">
      <c r="A26" s="71"/>
      <c r="B26" s="94"/>
      <c r="C26" s="95"/>
      <c r="D26" s="96"/>
      <c r="E26" s="97"/>
      <c r="F26" s="103"/>
      <c r="G26" s="103"/>
      <c r="H26" s="103"/>
      <c r="I26" s="103"/>
      <c r="J26" s="103"/>
      <c r="K26" s="98"/>
      <c r="L26" s="74"/>
      <c r="M26" s="74"/>
      <c r="N26" s="74"/>
      <c r="O26" s="74"/>
      <c r="P26" s="74"/>
    </row>
    <row r="27">
      <c r="A27" s="71"/>
      <c r="B27" s="94"/>
      <c r="C27" s="95"/>
      <c r="D27" s="96"/>
      <c r="E27" s="97"/>
      <c r="F27" s="103"/>
      <c r="G27" s="103"/>
      <c r="H27" s="103"/>
      <c r="I27" s="103"/>
      <c r="J27" s="103"/>
      <c r="K27" s="98"/>
      <c r="L27" s="74"/>
      <c r="M27" s="74"/>
      <c r="N27" s="74"/>
      <c r="O27" s="74"/>
      <c r="P27" s="74"/>
    </row>
    <row r="28">
      <c r="A28" s="71"/>
      <c r="B28" s="94"/>
      <c r="C28" s="95"/>
      <c r="D28" s="96"/>
      <c r="E28" s="97"/>
      <c r="F28" s="103"/>
      <c r="G28" s="103"/>
      <c r="H28" s="103"/>
      <c r="I28" s="103"/>
      <c r="J28" s="103"/>
      <c r="K28" s="98"/>
      <c r="L28" s="74"/>
      <c r="M28" s="74"/>
      <c r="N28" s="74"/>
      <c r="O28" s="74"/>
      <c r="P28" s="74"/>
    </row>
    <row r="29">
      <c r="A29" s="71"/>
      <c r="B29" s="94"/>
      <c r="C29" s="95"/>
      <c r="D29" s="96"/>
      <c r="E29" s="97"/>
      <c r="F29" s="103"/>
      <c r="G29" s="103"/>
      <c r="H29" s="103"/>
      <c r="I29" s="103"/>
      <c r="J29" s="103"/>
      <c r="K29" s="98"/>
      <c r="L29" s="74"/>
      <c r="M29" s="74"/>
      <c r="N29" s="74"/>
      <c r="O29" s="74"/>
      <c r="P29" s="74"/>
    </row>
    <row r="30">
      <c r="A30" s="71"/>
      <c r="B30" s="94"/>
      <c r="C30" s="95"/>
      <c r="D30" s="96"/>
      <c r="E30" s="97"/>
      <c r="F30" s="103"/>
      <c r="G30" s="103"/>
      <c r="H30" s="103"/>
      <c r="I30" s="103"/>
      <c r="J30" s="103"/>
      <c r="K30" s="98"/>
      <c r="L30" s="74"/>
      <c r="M30" s="74"/>
      <c r="N30" s="74"/>
      <c r="O30" s="74"/>
      <c r="P30" s="74"/>
    </row>
    <row r="31">
      <c r="A31" s="71"/>
      <c r="B31" s="94"/>
      <c r="C31" s="95"/>
      <c r="D31" s="96"/>
      <c r="E31" s="97"/>
      <c r="F31" s="103"/>
      <c r="G31" s="103"/>
      <c r="H31" s="103"/>
      <c r="I31" s="103"/>
      <c r="J31" s="103"/>
      <c r="K31" s="98"/>
      <c r="L31" s="74"/>
      <c r="M31" s="74"/>
      <c r="N31" s="74"/>
      <c r="O31" s="74"/>
      <c r="P31" s="74"/>
    </row>
    <row r="32">
      <c r="A32" s="71"/>
      <c r="B32" s="94"/>
      <c r="C32" s="95"/>
      <c r="D32" s="96"/>
      <c r="E32" s="97"/>
      <c r="F32" s="103"/>
      <c r="G32" s="103"/>
      <c r="H32" s="103"/>
      <c r="I32" s="103"/>
      <c r="J32" s="103"/>
      <c r="K32" s="98"/>
      <c r="L32" s="74"/>
      <c r="M32" s="74"/>
      <c r="N32" s="74"/>
      <c r="O32" s="74"/>
      <c r="P32" s="74"/>
    </row>
    <row r="33">
      <c r="A33" s="71"/>
      <c r="B33" s="94"/>
      <c r="C33" s="95"/>
      <c r="D33" s="96"/>
      <c r="E33" s="97"/>
      <c r="F33" s="103"/>
      <c r="G33" s="103"/>
      <c r="H33" s="103"/>
      <c r="I33" s="103"/>
      <c r="J33" s="103"/>
      <c r="K33" s="98"/>
      <c r="L33" s="74"/>
      <c r="M33" s="74"/>
      <c r="N33" s="74"/>
      <c r="O33" s="74"/>
      <c r="P33" s="74"/>
    </row>
    <row r="34">
      <c r="A34" s="71"/>
      <c r="B34" s="94"/>
      <c r="C34" s="95"/>
      <c r="D34" s="96"/>
      <c r="E34" s="97"/>
      <c r="F34" s="103"/>
      <c r="G34" s="103"/>
      <c r="H34" s="103"/>
      <c r="I34" s="103"/>
      <c r="J34" s="103"/>
      <c r="K34" s="98"/>
      <c r="L34" s="74"/>
      <c r="M34" s="74"/>
      <c r="N34" s="74"/>
      <c r="O34" s="74"/>
      <c r="P34" s="74"/>
    </row>
    <row r="35">
      <c r="A35" s="71"/>
      <c r="B35" s="94"/>
      <c r="C35" s="95"/>
      <c r="D35" s="96"/>
      <c r="E35" s="97"/>
      <c r="F35" s="103"/>
      <c r="G35" s="103"/>
      <c r="H35" s="103"/>
      <c r="I35" s="103"/>
      <c r="J35" s="103"/>
      <c r="K35" s="98"/>
      <c r="L35" s="74"/>
      <c r="M35" s="74"/>
      <c r="N35" s="74"/>
      <c r="O35" s="74"/>
      <c r="P35" s="74"/>
    </row>
    <row r="36">
      <c r="A36" s="71"/>
      <c r="B36" s="94"/>
      <c r="C36" s="95"/>
      <c r="D36" s="96"/>
      <c r="E36" s="97"/>
      <c r="F36" s="103"/>
      <c r="G36" s="103"/>
      <c r="H36" s="103"/>
      <c r="I36" s="103"/>
      <c r="J36" s="103"/>
      <c r="K36" s="98"/>
      <c r="L36" s="74"/>
      <c r="M36" s="74"/>
      <c r="N36" s="74"/>
      <c r="O36" s="74"/>
      <c r="P36" s="74"/>
    </row>
    <row r="37">
      <c r="A37" s="71"/>
      <c r="B37" s="94"/>
      <c r="C37" s="95"/>
      <c r="D37" s="96"/>
      <c r="E37" s="97"/>
      <c r="F37" s="103"/>
      <c r="G37" s="103"/>
      <c r="H37" s="103"/>
      <c r="I37" s="103"/>
      <c r="J37" s="103"/>
      <c r="K37" s="98"/>
      <c r="L37" s="74"/>
      <c r="M37" s="74"/>
      <c r="N37" s="74"/>
      <c r="O37" s="74"/>
      <c r="P37" s="74"/>
    </row>
    <row r="38">
      <c r="A38" s="71"/>
      <c r="B38" s="94"/>
      <c r="C38" s="95"/>
      <c r="D38" s="96"/>
      <c r="E38" s="97"/>
      <c r="F38" s="103"/>
      <c r="G38" s="103"/>
      <c r="H38" s="103"/>
      <c r="I38" s="103"/>
      <c r="J38" s="103"/>
      <c r="K38" s="98"/>
      <c r="L38" s="74"/>
      <c r="M38" s="74"/>
      <c r="N38" s="74"/>
      <c r="O38" s="74"/>
      <c r="P38" s="74"/>
    </row>
    <row r="39">
      <c r="A39" s="71"/>
      <c r="B39" s="94"/>
      <c r="C39" s="95"/>
      <c r="D39" s="96"/>
      <c r="E39" s="97"/>
      <c r="F39" s="103"/>
      <c r="G39" s="103"/>
      <c r="H39" s="103"/>
      <c r="I39" s="103"/>
      <c r="J39" s="103"/>
      <c r="K39" s="98"/>
      <c r="L39" s="74"/>
      <c r="M39" s="74"/>
      <c r="N39" s="74"/>
      <c r="O39" s="74"/>
      <c r="P39" s="74"/>
    </row>
    <row r="40">
      <c r="A40" s="71"/>
      <c r="B40" s="94"/>
      <c r="C40" s="95"/>
      <c r="D40" s="96"/>
      <c r="E40" s="97"/>
      <c r="F40" s="103"/>
      <c r="G40" s="103"/>
      <c r="H40" s="103"/>
      <c r="I40" s="103"/>
      <c r="J40" s="103"/>
      <c r="K40" s="98"/>
      <c r="L40" s="74"/>
      <c r="M40" s="74"/>
      <c r="N40" s="74"/>
      <c r="O40" s="74"/>
      <c r="P40" s="74"/>
    </row>
    <row r="41">
      <c r="A41" s="71"/>
      <c r="B41" s="94"/>
      <c r="C41" s="95"/>
      <c r="D41" s="96"/>
      <c r="E41" s="97"/>
      <c r="F41" s="103"/>
      <c r="G41" s="103"/>
      <c r="H41" s="103"/>
      <c r="I41" s="103"/>
      <c r="J41" s="103"/>
      <c r="K41" s="98"/>
      <c r="L41" s="74"/>
      <c r="M41" s="74"/>
      <c r="N41" s="74"/>
      <c r="O41" s="74"/>
      <c r="P41" s="74"/>
    </row>
    <row r="42">
      <c r="A42" s="71"/>
      <c r="B42" s="94"/>
      <c r="C42" s="95"/>
      <c r="D42" s="96"/>
      <c r="E42" s="97"/>
      <c r="F42" s="103"/>
      <c r="G42" s="103"/>
      <c r="H42" s="103"/>
      <c r="I42" s="103"/>
      <c r="J42" s="103"/>
      <c r="K42" s="98"/>
      <c r="L42" s="74"/>
      <c r="M42" s="74"/>
      <c r="N42" s="74"/>
      <c r="O42" s="74"/>
      <c r="P42" s="74"/>
    </row>
    <row r="43">
      <c r="A43" s="71"/>
      <c r="B43" s="94"/>
      <c r="C43" s="95"/>
      <c r="D43" s="96"/>
      <c r="E43" s="97"/>
      <c r="F43" s="103"/>
      <c r="G43" s="103"/>
      <c r="H43" s="103"/>
      <c r="I43" s="103"/>
      <c r="J43" s="103"/>
      <c r="K43" s="98"/>
      <c r="L43" s="74"/>
      <c r="M43" s="74"/>
      <c r="N43" s="74"/>
      <c r="O43" s="74"/>
      <c r="P43" s="74"/>
    </row>
    <row r="44">
      <c r="A44" s="71"/>
      <c r="B44" s="94"/>
      <c r="C44" s="95"/>
      <c r="D44" s="96"/>
      <c r="E44" s="97"/>
      <c r="F44" s="103"/>
      <c r="G44" s="103"/>
      <c r="H44" s="103"/>
      <c r="I44" s="103"/>
      <c r="J44" s="103"/>
      <c r="K44" s="98"/>
      <c r="L44" s="74"/>
      <c r="M44" s="74"/>
      <c r="N44" s="74"/>
      <c r="O44" s="74"/>
      <c r="P44" s="74"/>
    </row>
    <row r="45">
      <c r="A45" s="71"/>
      <c r="B45" s="94"/>
      <c r="C45" s="95"/>
      <c r="D45" s="96"/>
      <c r="E45" s="97"/>
      <c r="F45" s="103"/>
      <c r="G45" s="103"/>
      <c r="H45" s="103"/>
      <c r="I45" s="103"/>
      <c r="J45" s="103"/>
      <c r="K45" s="98"/>
      <c r="L45" s="74"/>
      <c r="M45" s="74"/>
      <c r="N45" s="74"/>
      <c r="O45" s="74"/>
      <c r="P45" s="74"/>
    </row>
    <row r="46">
      <c r="A46" s="71"/>
      <c r="B46" s="94"/>
      <c r="C46" s="95"/>
      <c r="D46" s="96"/>
      <c r="E46" s="97"/>
      <c r="F46" s="103"/>
      <c r="G46" s="103"/>
      <c r="H46" s="103"/>
      <c r="I46" s="103"/>
      <c r="J46" s="103"/>
      <c r="K46" s="98"/>
      <c r="L46" s="74"/>
      <c r="M46" s="74"/>
      <c r="N46" s="74"/>
      <c r="O46" s="74"/>
      <c r="P46" s="74"/>
    </row>
    <row r="47">
      <c r="A47" s="71"/>
      <c r="B47" s="94"/>
      <c r="C47" s="95"/>
      <c r="D47" s="96"/>
      <c r="E47" s="97"/>
      <c r="F47" s="103"/>
      <c r="G47" s="103"/>
      <c r="H47" s="103"/>
      <c r="I47" s="103"/>
      <c r="J47" s="103"/>
      <c r="K47" s="98"/>
      <c r="L47" s="74"/>
      <c r="M47" s="74"/>
      <c r="N47" s="74"/>
      <c r="O47" s="74"/>
      <c r="P47" s="74"/>
    </row>
    <row r="48">
      <c r="A48" s="71"/>
      <c r="B48" s="94"/>
      <c r="C48" s="95"/>
      <c r="D48" s="96"/>
      <c r="E48" s="97"/>
      <c r="F48" s="103"/>
      <c r="G48" s="103"/>
      <c r="H48" s="103"/>
      <c r="I48" s="103"/>
      <c r="J48" s="103"/>
      <c r="K48" s="98"/>
      <c r="L48" s="74"/>
      <c r="M48" s="74"/>
      <c r="N48" s="74"/>
      <c r="O48" s="74"/>
      <c r="P48" s="74"/>
    </row>
    <row r="49">
      <c r="A49" s="71"/>
      <c r="B49" s="94"/>
      <c r="C49" s="95"/>
      <c r="D49" s="96"/>
      <c r="E49" s="97"/>
      <c r="F49" s="103"/>
      <c r="G49" s="103"/>
      <c r="H49" s="103"/>
      <c r="I49" s="103"/>
      <c r="J49" s="103"/>
      <c r="K49" s="98"/>
      <c r="L49" s="74"/>
      <c r="M49" s="74"/>
      <c r="N49" s="74"/>
      <c r="O49" s="74"/>
      <c r="P49" s="74"/>
    </row>
    <row r="50">
      <c r="A50" s="71"/>
      <c r="B50" s="94"/>
      <c r="C50" s="95"/>
      <c r="D50" s="96"/>
      <c r="E50" s="97"/>
      <c r="F50" s="103"/>
      <c r="G50" s="103"/>
      <c r="H50" s="103"/>
      <c r="I50" s="103"/>
      <c r="J50" s="103"/>
      <c r="K50" s="98"/>
      <c r="L50" s="74"/>
      <c r="M50" s="74"/>
      <c r="N50" s="74"/>
      <c r="O50" s="74"/>
      <c r="P50" s="74"/>
    </row>
    <row r="51">
      <c r="A51" s="71"/>
      <c r="B51" s="94"/>
      <c r="C51" s="95"/>
      <c r="D51" s="96"/>
      <c r="E51" s="97"/>
      <c r="F51" s="103"/>
      <c r="G51" s="103"/>
      <c r="H51" s="103"/>
      <c r="I51" s="103"/>
      <c r="J51" s="103"/>
      <c r="K51" s="98"/>
      <c r="L51" s="74"/>
      <c r="M51" s="74"/>
      <c r="N51" s="74"/>
      <c r="O51" s="74"/>
      <c r="P51" s="74"/>
    </row>
    <row r="52">
      <c r="A52" s="71"/>
      <c r="B52" s="94"/>
      <c r="C52" s="95"/>
      <c r="D52" s="96"/>
      <c r="E52" s="97"/>
      <c r="F52" s="103"/>
      <c r="G52" s="103"/>
      <c r="H52" s="103"/>
      <c r="I52" s="103"/>
      <c r="J52" s="103"/>
      <c r="K52" s="98"/>
      <c r="L52" s="74"/>
      <c r="M52" s="74"/>
      <c r="N52" s="74"/>
      <c r="O52" s="74"/>
      <c r="P52" s="74"/>
    </row>
    <row r="53">
      <c r="A53" s="71"/>
      <c r="B53" s="94"/>
      <c r="C53" s="95"/>
      <c r="D53" s="96"/>
      <c r="E53" s="97"/>
      <c r="F53" s="103"/>
      <c r="G53" s="103"/>
      <c r="H53" s="103"/>
      <c r="I53" s="103"/>
      <c r="J53" s="103"/>
      <c r="K53" s="98"/>
      <c r="L53" s="74"/>
      <c r="M53" s="74"/>
      <c r="N53" s="74"/>
      <c r="O53" s="74"/>
      <c r="P53" s="74"/>
    </row>
    <row r="54">
      <c r="A54" s="71"/>
      <c r="B54" s="94"/>
      <c r="C54" s="95"/>
      <c r="D54" s="96"/>
      <c r="E54" s="97"/>
      <c r="F54" s="103"/>
      <c r="G54" s="103"/>
      <c r="H54" s="103"/>
      <c r="I54" s="103"/>
      <c r="J54" s="103"/>
      <c r="K54" s="98"/>
      <c r="L54" s="74"/>
      <c r="M54" s="74"/>
      <c r="N54" s="74"/>
      <c r="O54" s="74"/>
      <c r="P54" s="74"/>
    </row>
    <row r="55">
      <c r="A55" s="71"/>
      <c r="B55" s="94"/>
      <c r="C55" s="95"/>
      <c r="D55" s="96"/>
      <c r="E55" s="97"/>
      <c r="F55" s="103"/>
      <c r="G55" s="103"/>
      <c r="H55" s="103"/>
      <c r="I55" s="103"/>
      <c r="J55" s="103"/>
      <c r="K55" s="98"/>
      <c r="L55" s="74"/>
      <c r="M55" s="74"/>
      <c r="N55" s="74"/>
      <c r="O55" s="74"/>
      <c r="P55" s="74"/>
    </row>
    <row r="56">
      <c r="A56" s="71"/>
      <c r="B56" s="94"/>
      <c r="C56" s="95"/>
      <c r="D56" s="96"/>
      <c r="E56" s="97"/>
      <c r="F56" s="103"/>
      <c r="G56" s="103"/>
      <c r="H56" s="103"/>
      <c r="I56" s="103"/>
      <c r="J56" s="103"/>
      <c r="K56" s="98"/>
      <c r="L56" s="74"/>
      <c r="M56" s="74"/>
      <c r="N56" s="74"/>
      <c r="O56" s="74"/>
      <c r="P56" s="74"/>
    </row>
    <row r="57">
      <c r="A57" s="71"/>
      <c r="B57" s="94"/>
      <c r="C57" s="95"/>
      <c r="D57" s="96"/>
      <c r="E57" s="97"/>
      <c r="F57" s="103"/>
      <c r="G57" s="103"/>
      <c r="H57" s="103"/>
      <c r="I57" s="103"/>
      <c r="J57" s="103"/>
      <c r="K57" s="98"/>
      <c r="L57" s="74"/>
      <c r="M57" s="74"/>
      <c r="N57" s="74"/>
      <c r="O57" s="74"/>
      <c r="P57" s="74"/>
    </row>
    <row r="58">
      <c r="A58" s="71"/>
      <c r="B58" s="94"/>
      <c r="C58" s="95"/>
      <c r="D58" s="96"/>
      <c r="E58" s="97"/>
      <c r="F58" s="103"/>
      <c r="G58" s="103"/>
      <c r="H58" s="103"/>
      <c r="I58" s="103"/>
      <c r="J58" s="103"/>
      <c r="K58" s="98"/>
      <c r="L58" s="74"/>
      <c r="M58" s="74"/>
      <c r="N58" s="74"/>
      <c r="O58" s="74"/>
      <c r="P58" s="74"/>
    </row>
    <row r="59">
      <c r="A59" s="71"/>
      <c r="B59" s="94"/>
      <c r="C59" s="95"/>
      <c r="D59" s="96"/>
      <c r="E59" s="97"/>
      <c r="F59" s="103"/>
      <c r="G59" s="103"/>
      <c r="H59" s="103"/>
      <c r="I59" s="103"/>
      <c r="J59" s="103"/>
      <c r="K59" s="98"/>
      <c r="L59" s="74"/>
      <c r="M59" s="74"/>
      <c r="N59" s="74"/>
      <c r="O59" s="74"/>
      <c r="P59" s="74"/>
    </row>
    <row r="60">
      <c r="A60" s="71"/>
      <c r="B60" s="94"/>
      <c r="C60" s="95"/>
      <c r="D60" s="96"/>
      <c r="E60" s="97"/>
      <c r="F60" s="103"/>
      <c r="G60" s="103"/>
      <c r="H60" s="103"/>
      <c r="I60" s="103"/>
      <c r="J60" s="103"/>
      <c r="K60" s="98"/>
      <c r="L60" s="74"/>
      <c r="M60" s="74"/>
      <c r="N60" s="74"/>
      <c r="O60" s="74"/>
      <c r="P60" s="74"/>
    </row>
    <row r="61">
      <c r="A61" s="71"/>
      <c r="B61" s="94"/>
      <c r="C61" s="95"/>
      <c r="D61" s="96"/>
      <c r="E61" s="97"/>
      <c r="F61" s="103"/>
      <c r="G61" s="103"/>
      <c r="H61" s="103"/>
      <c r="I61" s="103"/>
      <c r="J61" s="103"/>
      <c r="K61" s="98"/>
      <c r="L61" s="74"/>
      <c r="M61" s="74"/>
      <c r="N61" s="74"/>
      <c r="O61" s="74"/>
      <c r="P61" s="74"/>
    </row>
    <row r="62">
      <c r="A62" s="71"/>
      <c r="B62" s="94"/>
      <c r="C62" s="95"/>
      <c r="D62" s="96"/>
      <c r="E62" s="97"/>
      <c r="F62" s="103"/>
      <c r="G62" s="103"/>
      <c r="H62" s="103"/>
      <c r="I62" s="103"/>
      <c r="J62" s="103"/>
      <c r="K62" s="98"/>
      <c r="L62" s="74"/>
      <c r="M62" s="74"/>
      <c r="N62" s="74"/>
      <c r="O62" s="74"/>
      <c r="P62" s="74"/>
    </row>
    <row r="63">
      <c r="A63" s="71"/>
      <c r="B63" s="94"/>
      <c r="C63" s="95"/>
      <c r="D63" s="96"/>
      <c r="E63" s="97"/>
      <c r="F63" s="103"/>
      <c r="G63" s="103"/>
      <c r="H63" s="103"/>
      <c r="I63" s="103"/>
      <c r="J63" s="103"/>
      <c r="K63" s="98"/>
      <c r="L63" s="74"/>
      <c r="M63" s="74"/>
      <c r="N63" s="74"/>
      <c r="O63" s="74"/>
      <c r="P63" s="74"/>
    </row>
    <row r="64">
      <c r="A64" s="71"/>
      <c r="B64" s="94"/>
      <c r="C64" s="95"/>
      <c r="D64" s="96"/>
      <c r="E64" s="97"/>
      <c r="F64" s="103"/>
      <c r="G64" s="103"/>
      <c r="H64" s="103"/>
      <c r="I64" s="103"/>
      <c r="J64" s="103"/>
      <c r="K64" s="98"/>
      <c r="L64" s="74"/>
      <c r="M64" s="74"/>
      <c r="N64" s="74"/>
      <c r="O64" s="74"/>
      <c r="P64" s="74"/>
    </row>
    <row r="65">
      <c r="A65" s="71"/>
      <c r="B65" s="94"/>
      <c r="C65" s="95"/>
      <c r="D65" s="96"/>
      <c r="E65" s="97"/>
      <c r="F65" s="103"/>
      <c r="G65" s="103"/>
      <c r="H65" s="103"/>
      <c r="I65" s="103"/>
      <c r="J65" s="103"/>
      <c r="K65" s="98"/>
      <c r="L65" s="74"/>
      <c r="M65" s="74"/>
      <c r="N65" s="74"/>
      <c r="O65" s="74"/>
      <c r="P65" s="74"/>
    </row>
    <row r="66">
      <c r="A66" s="71"/>
      <c r="B66" s="94"/>
      <c r="C66" s="95"/>
      <c r="D66" s="96"/>
      <c r="E66" s="97"/>
      <c r="F66" s="103"/>
      <c r="G66" s="103"/>
      <c r="H66" s="103"/>
      <c r="I66" s="103"/>
      <c r="J66" s="103"/>
      <c r="K66" s="98"/>
      <c r="L66" s="74"/>
      <c r="M66" s="74"/>
      <c r="N66" s="74"/>
      <c r="O66" s="74"/>
      <c r="P66" s="74"/>
    </row>
    <row r="67">
      <c r="A67" s="71"/>
      <c r="B67" s="94"/>
      <c r="C67" s="95"/>
      <c r="D67" s="96"/>
      <c r="E67" s="97"/>
      <c r="F67" s="103"/>
      <c r="G67" s="103"/>
      <c r="H67" s="103"/>
      <c r="I67" s="103"/>
      <c r="J67" s="103"/>
      <c r="K67" s="98"/>
      <c r="L67" s="74"/>
      <c r="M67" s="74"/>
      <c r="N67" s="74"/>
      <c r="O67" s="74"/>
      <c r="P67" s="74"/>
    </row>
    <row r="68">
      <c r="A68" s="71"/>
      <c r="B68" s="94"/>
      <c r="C68" s="95"/>
      <c r="D68" s="96"/>
      <c r="E68" s="97"/>
      <c r="F68" s="103"/>
      <c r="G68" s="103"/>
      <c r="H68" s="103"/>
      <c r="I68" s="103"/>
      <c r="J68" s="103"/>
      <c r="K68" s="98"/>
      <c r="L68" s="74"/>
      <c r="M68" s="74"/>
      <c r="N68" s="74"/>
      <c r="O68" s="74"/>
      <c r="P68" s="74"/>
    </row>
    <row r="69">
      <c r="A69" s="71"/>
      <c r="B69" s="94"/>
      <c r="C69" s="95"/>
      <c r="D69" s="96"/>
      <c r="E69" s="97"/>
      <c r="F69" s="103"/>
      <c r="G69" s="103"/>
      <c r="H69" s="103"/>
      <c r="I69" s="103"/>
      <c r="J69" s="103"/>
      <c r="K69" s="98"/>
      <c r="L69" s="74"/>
      <c r="M69" s="74"/>
      <c r="N69" s="74"/>
      <c r="O69" s="74"/>
      <c r="P69" s="74"/>
    </row>
    <row r="70">
      <c r="A70" s="71"/>
      <c r="B70" s="94"/>
      <c r="C70" s="95"/>
      <c r="D70" s="96"/>
      <c r="E70" s="97"/>
      <c r="F70" s="103"/>
      <c r="G70" s="103"/>
      <c r="H70" s="103"/>
      <c r="I70" s="103"/>
      <c r="J70" s="103"/>
      <c r="K70" s="98"/>
      <c r="L70" s="74"/>
      <c r="M70" s="74"/>
      <c r="N70" s="74"/>
      <c r="O70" s="74"/>
      <c r="P70" s="74"/>
    </row>
    <row r="71">
      <c r="A71" s="71"/>
      <c r="B71" s="94"/>
      <c r="C71" s="95"/>
      <c r="D71" s="96"/>
      <c r="E71" s="97"/>
      <c r="F71" s="103"/>
      <c r="G71" s="103"/>
      <c r="H71" s="103"/>
      <c r="I71" s="103"/>
      <c r="J71" s="103"/>
      <c r="K71" s="98"/>
      <c r="L71" s="74"/>
      <c r="M71" s="74"/>
      <c r="N71" s="74"/>
      <c r="O71" s="74"/>
      <c r="P71" s="74"/>
    </row>
    <row r="72">
      <c r="A72" s="71"/>
      <c r="B72" s="94"/>
      <c r="C72" s="95"/>
      <c r="D72" s="96"/>
      <c r="E72" s="97"/>
      <c r="F72" s="103"/>
      <c r="G72" s="103"/>
      <c r="H72" s="103"/>
      <c r="I72" s="103"/>
      <c r="J72" s="103"/>
      <c r="K72" s="98"/>
      <c r="L72" s="74"/>
      <c r="M72" s="74"/>
      <c r="N72" s="74"/>
      <c r="O72" s="74"/>
      <c r="P72" s="74"/>
    </row>
    <row r="73">
      <c r="A73" s="71"/>
      <c r="B73" s="94"/>
      <c r="C73" s="95"/>
      <c r="D73" s="96"/>
      <c r="E73" s="97"/>
      <c r="F73" s="103"/>
      <c r="G73" s="103"/>
      <c r="H73" s="103"/>
      <c r="I73" s="103"/>
      <c r="J73" s="103"/>
      <c r="K73" s="98"/>
      <c r="L73" s="74"/>
      <c r="M73" s="74"/>
      <c r="N73" s="74"/>
      <c r="O73" s="74"/>
      <c r="P73" s="74"/>
    </row>
    <row r="74">
      <c r="A74" s="71"/>
      <c r="B74" s="94"/>
      <c r="C74" s="95"/>
      <c r="D74" s="96"/>
      <c r="E74" s="97"/>
      <c r="F74" s="103"/>
      <c r="G74" s="103"/>
      <c r="H74" s="103"/>
      <c r="I74" s="103"/>
      <c r="J74" s="103"/>
      <c r="K74" s="98"/>
      <c r="L74" s="74"/>
      <c r="M74" s="74"/>
      <c r="N74" s="74"/>
      <c r="O74" s="74"/>
      <c r="P74" s="74"/>
    </row>
    <row r="75">
      <c r="A75" s="71"/>
      <c r="B75" s="94"/>
      <c r="C75" s="95"/>
      <c r="D75" s="96"/>
      <c r="E75" s="97"/>
      <c r="F75" s="103"/>
      <c r="G75" s="103"/>
      <c r="H75" s="103"/>
      <c r="I75" s="103"/>
      <c r="J75" s="103"/>
      <c r="K75" s="98"/>
      <c r="L75" s="74"/>
      <c r="M75" s="74"/>
      <c r="N75" s="74"/>
      <c r="O75" s="74"/>
      <c r="P75" s="74"/>
    </row>
    <row r="76">
      <c r="A76" s="71"/>
      <c r="B76" s="94"/>
      <c r="C76" s="95"/>
      <c r="D76" s="96"/>
      <c r="E76" s="97"/>
      <c r="F76" s="103"/>
      <c r="G76" s="103"/>
      <c r="H76" s="103"/>
      <c r="I76" s="103"/>
      <c r="J76" s="103"/>
      <c r="K76" s="98"/>
      <c r="L76" s="74"/>
      <c r="M76" s="74"/>
      <c r="N76" s="74"/>
      <c r="O76" s="74"/>
      <c r="P76" s="74"/>
    </row>
    <row r="77">
      <c r="A77" s="71"/>
      <c r="B77" s="94"/>
      <c r="C77" s="95"/>
      <c r="D77" s="96"/>
      <c r="E77" s="97"/>
      <c r="F77" s="103"/>
      <c r="G77" s="103"/>
      <c r="H77" s="103"/>
      <c r="I77" s="103"/>
      <c r="J77" s="103"/>
      <c r="K77" s="98"/>
      <c r="L77" s="74"/>
      <c r="M77" s="74"/>
      <c r="N77" s="74"/>
      <c r="O77" s="74"/>
      <c r="P77" s="74"/>
    </row>
    <row r="78">
      <c r="A78" s="71"/>
      <c r="B78" s="94"/>
      <c r="C78" s="95"/>
      <c r="D78" s="96"/>
      <c r="E78" s="97"/>
      <c r="F78" s="103"/>
      <c r="G78" s="103"/>
      <c r="H78" s="103"/>
      <c r="I78" s="103"/>
      <c r="J78" s="103"/>
      <c r="K78" s="98"/>
      <c r="L78" s="74"/>
      <c r="M78" s="74"/>
      <c r="N78" s="74"/>
      <c r="O78" s="74"/>
      <c r="P78" s="74"/>
    </row>
    <row r="79">
      <c r="A79" s="71"/>
      <c r="B79" s="94"/>
      <c r="C79" s="95"/>
      <c r="D79" s="96"/>
      <c r="E79" s="97"/>
      <c r="F79" s="103"/>
      <c r="G79" s="103"/>
      <c r="H79" s="103"/>
      <c r="I79" s="103"/>
      <c r="J79" s="103"/>
      <c r="K79" s="98"/>
      <c r="L79" s="74"/>
      <c r="M79" s="74"/>
      <c r="N79" s="74"/>
      <c r="O79" s="74"/>
      <c r="P79" s="74"/>
    </row>
    <row r="80">
      <c r="A80" s="71"/>
      <c r="B80" s="94"/>
      <c r="C80" s="95"/>
      <c r="D80" s="96"/>
      <c r="E80" s="97"/>
      <c r="F80" s="103"/>
      <c r="G80" s="103"/>
      <c r="H80" s="103"/>
      <c r="I80" s="103"/>
      <c r="J80" s="103"/>
      <c r="K80" s="98"/>
      <c r="L80" s="74"/>
      <c r="M80" s="74"/>
      <c r="N80" s="74"/>
      <c r="O80" s="74"/>
      <c r="P80" s="74"/>
    </row>
    <row r="81">
      <c r="A81" s="71"/>
      <c r="B81" s="94"/>
      <c r="C81" s="95"/>
      <c r="D81" s="96"/>
      <c r="E81" s="97"/>
      <c r="F81" s="103"/>
      <c r="G81" s="103"/>
      <c r="H81" s="103"/>
      <c r="I81" s="103"/>
      <c r="J81" s="103"/>
      <c r="K81" s="98"/>
      <c r="L81" s="74"/>
      <c r="M81" s="74"/>
      <c r="N81" s="74"/>
      <c r="O81" s="74"/>
      <c r="P81" s="74"/>
    </row>
    <row r="82">
      <c r="A82" s="71"/>
      <c r="B82" s="94"/>
      <c r="C82" s="95"/>
      <c r="D82" s="96"/>
      <c r="E82" s="97"/>
      <c r="F82" s="103"/>
      <c r="G82" s="103"/>
      <c r="H82" s="103"/>
      <c r="I82" s="103"/>
      <c r="J82" s="103"/>
      <c r="K82" s="98"/>
      <c r="L82" s="74"/>
      <c r="M82" s="74"/>
      <c r="N82" s="74"/>
      <c r="O82" s="74"/>
      <c r="P82" s="74"/>
    </row>
    <row r="83">
      <c r="A83" s="71"/>
      <c r="B83" s="94"/>
      <c r="C83" s="95"/>
      <c r="D83" s="96"/>
      <c r="E83" s="97"/>
      <c r="F83" s="103"/>
      <c r="G83" s="103"/>
      <c r="H83" s="103"/>
      <c r="I83" s="103"/>
      <c r="J83" s="103"/>
      <c r="K83" s="98"/>
      <c r="L83" s="74"/>
      <c r="M83" s="74"/>
      <c r="N83" s="74"/>
      <c r="O83" s="74"/>
      <c r="P83" s="74"/>
    </row>
    <row r="84">
      <c r="A84" s="71"/>
      <c r="B84" s="94"/>
      <c r="C84" s="95"/>
      <c r="D84" s="96"/>
      <c r="E84" s="97"/>
      <c r="F84" s="103"/>
      <c r="G84" s="103"/>
      <c r="H84" s="103"/>
      <c r="I84" s="103"/>
      <c r="J84" s="103"/>
      <c r="K84" s="98"/>
      <c r="L84" s="74"/>
      <c r="M84" s="74"/>
      <c r="N84" s="74"/>
      <c r="O84" s="74"/>
      <c r="P84" s="74"/>
    </row>
    <row r="85">
      <c r="A85" s="71"/>
      <c r="B85" s="94"/>
      <c r="C85" s="95"/>
      <c r="D85" s="96"/>
      <c r="E85" s="97"/>
      <c r="F85" s="103"/>
      <c r="G85" s="103"/>
      <c r="H85" s="103"/>
      <c r="I85" s="103"/>
      <c r="J85" s="103"/>
      <c r="K85" s="98"/>
      <c r="L85" s="74"/>
      <c r="M85" s="74"/>
      <c r="N85" s="74"/>
      <c r="O85" s="74"/>
      <c r="P85" s="74"/>
    </row>
    <row r="86">
      <c r="A86" s="71"/>
      <c r="B86" s="94"/>
      <c r="C86" s="95"/>
      <c r="D86" s="96"/>
      <c r="E86" s="97"/>
      <c r="F86" s="103"/>
      <c r="G86" s="103"/>
      <c r="H86" s="103"/>
      <c r="I86" s="103"/>
      <c r="J86" s="103"/>
      <c r="K86" s="98"/>
      <c r="L86" s="74"/>
      <c r="M86" s="74"/>
      <c r="N86" s="74"/>
      <c r="O86" s="74"/>
      <c r="P86" s="74"/>
    </row>
    <row r="87">
      <c r="A87" s="71"/>
      <c r="B87" s="94"/>
      <c r="C87" s="95"/>
      <c r="D87" s="96"/>
      <c r="E87" s="97"/>
      <c r="F87" s="103"/>
      <c r="G87" s="103"/>
      <c r="H87" s="103"/>
      <c r="I87" s="103"/>
      <c r="J87" s="103"/>
      <c r="K87" s="98"/>
      <c r="L87" s="74"/>
      <c r="M87" s="74"/>
      <c r="N87" s="74"/>
      <c r="O87" s="74"/>
      <c r="P87" s="74"/>
    </row>
    <row r="88">
      <c r="A88" s="71"/>
      <c r="B88" s="94"/>
      <c r="C88" s="95"/>
      <c r="D88" s="96"/>
      <c r="E88" s="97"/>
      <c r="F88" s="103"/>
      <c r="G88" s="103"/>
      <c r="H88" s="103"/>
      <c r="I88" s="103"/>
      <c r="J88" s="103"/>
      <c r="K88" s="98"/>
      <c r="L88" s="74"/>
      <c r="M88" s="74"/>
      <c r="N88" s="74"/>
      <c r="O88" s="74"/>
      <c r="P88" s="74"/>
    </row>
  </sheetData>
  <mergeCells count="24">
    <mergeCell ref="B5:O5"/>
    <mergeCell ref="C6:D6"/>
    <mergeCell ref="B7:B8"/>
    <mergeCell ref="C7:C8"/>
    <mergeCell ref="G7:G8"/>
    <mergeCell ref="B9:G9"/>
    <mergeCell ref="F10:J10"/>
    <mergeCell ref="B11:E11"/>
    <mergeCell ref="B12:E12"/>
    <mergeCell ref="F12:J12"/>
    <mergeCell ref="B13:E13"/>
    <mergeCell ref="F13:J13"/>
    <mergeCell ref="B14:E14"/>
    <mergeCell ref="F14:J14"/>
    <mergeCell ref="B21:E21"/>
    <mergeCell ref="B22:E22"/>
    <mergeCell ref="B23:E23"/>
    <mergeCell ref="B15:E15"/>
    <mergeCell ref="F15:J15"/>
    <mergeCell ref="B16:E16"/>
    <mergeCell ref="B17:E17"/>
    <mergeCell ref="B18:E18"/>
    <mergeCell ref="B19:E19"/>
    <mergeCell ref="B20:E20"/>
  </mergeCells>
  <hyperlinks>
    <hyperlink r:id="rId1" ref="B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2" max="2" width="41.75"/>
  </cols>
  <sheetData>
    <row r="1">
      <c r="A1" s="71"/>
      <c r="B1" s="74"/>
      <c r="C1" s="74"/>
      <c r="D1" s="74"/>
      <c r="E1" s="74"/>
    </row>
    <row r="2">
      <c r="A2" s="67"/>
      <c r="B2" s="106" t="s">
        <v>0</v>
      </c>
      <c r="C2" s="70"/>
      <c r="D2" s="70"/>
      <c r="E2" s="74"/>
    </row>
    <row r="3">
      <c r="A3" s="71"/>
      <c r="B3" s="106" t="s">
        <v>1</v>
      </c>
      <c r="C3" s="70"/>
      <c r="D3" s="70"/>
      <c r="E3" s="74"/>
    </row>
    <row r="4">
      <c r="A4" s="71"/>
      <c r="B4" s="106" t="s">
        <v>2</v>
      </c>
      <c r="C4" s="70"/>
      <c r="D4" s="70"/>
      <c r="E4" s="74"/>
    </row>
    <row r="5">
      <c r="A5" s="71"/>
      <c r="B5" s="107" t="s">
        <v>84</v>
      </c>
      <c r="C5" s="74"/>
      <c r="D5" s="74"/>
      <c r="E5" s="74"/>
    </row>
    <row r="6">
      <c r="A6" s="77"/>
      <c r="B6" s="108" t="s">
        <v>41</v>
      </c>
      <c r="C6" s="108" t="s">
        <v>42</v>
      </c>
      <c r="D6" s="77"/>
      <c r="E6" s="74"/>
    </row>
    <row r="7">
      <c r="A7" s="77"/>
      <c r="B7" s="109" t="s">
        <v>43</v>
      </c>
      <c r="C7" s="110">
        <v>3306.0</v>
      </c>
      <c r="D7" s="77"/>
      <c r="E7" s="74"/>
    </row>
    <row r="8">
      <c r="A8" s="77"/>
      <c r="B8" s="109" t="s">
        <v>85</v>
      </c>
      <c r="C8" s="110">
        <v>1749.0</v>
      </c>
      <c r="D8" s="77"/>
      <c r="E8" s="74"/>
    </row>
    <row r="9">
      <c r="A9" s="77"/>
      <c r="B9" s="109" t="s">
        <v>45</v>
      </c>
      <c r="C9" s="110">
        <v>938.0</v>
      </c>
      <c r="D9" s="77"/>
      <c r="E9" s="74"/>
    </row>
    <row r="10">
      <c r="A10" s="77"/>
      <c r="B10" s="109" t="s">
        <v>86</v>
      </c>
      <c r="C10" s="110">
        <v>527.0</v>
      </c>
      <c r="D10" s="77"/>
      <c r="E10" s="74"/>
    </row>
    <row r="11">
      <c r="A11" s="77"/>
      <c r="B11" s="109" t="s">
        <v>87</v>
      </c>
      <c r="C11" s="110">
        <v>506.0</v>
      </c>
      <c r="D11" s="77"/>
      <c r="E11" s="74"/>
    </row>
    <row r="12">
      <c r="A12" s="77"/>
      <c r="B12" s="109" t="s">
        <v>46</v>
      </c>
      <c r="C12" s="110">
        <v>484.0</v>
      </c>
      <c r="D12" s="77"/>
      <c r="E12" s="74"/>
    </row>
    <row r="13">
      <c r="A13" s="77"/>
      <c r="B13" s="109" t="s">
        <v>48</v>
      </c>
      <c r="C13" s="110">
        <v>310.0</v>
      </c>
      <c r="D13" s="77"/>
      <c r="E13" s="74"/>
    </row>
    <row r="14">
      <c r="A14" s="77"/>
      <c r="B14" s="109" t="s">
        <v>88</v>
      </c>
      <c r="C14" s="110">
        <v>258.0</v>
      </c>
      <c r="D14" s="77"/>
      <c r="E14" s="74"/>
    </row>
    <row r="15">
      <c r="A15" s="77"/>
      <c r="B15" s="109" t="s">
        <v>89</v>
      </c>
      <c r="C15" s="110">
        <v>182.0</v>
      </c>
      <c r="D15" s="77"/>
      <c r="E15" s="74"/>
    </row>
    <row r="16">
      <c r="A16" s="77"/>
      <c r="B16" s="109" t="s">
        <v>51</v>
      </c>
      <c r="C16" s="110">
        <v>170.0</v>
      </c>
      <c r="D16" s="77"/>
      <c r="E16" s="74"/>
    </row>
    <row r="17">
      <c r="A17" s="77"/>
      <c r="B17" s="109" t="s">
        <v>49</v>
      </c>
      <c r="C17" s="110">
        <v>144.0</v>
      </c>
      <c r="D17" s="77"/>
      <c r="E17" s="74"/>
    </row>
    <row r="18">
      <c r="A18" s="77"/>
      <c r="B18" s="109" t="s">
        <v>54</v>
      </c>
      <c r="C18" s="110">
        <v>136.0</v>
      </c>
      <c r="D18" s="77"/>
      <c r="E18" s="74"/>
    </row>
    <row r="19">
      <c r="A19" s="77"/>
      <c r="B19" s="109" t="s">
        <v>90</v>
      </c>
      <c r="C19" s="110">
        <v>130.0</v>
      </c>
      <c r="D19" s="77"/>
      <c r="E19" s="74"/>
    </row>
    <row r="20">
      <c r="A20" s="77"/>
      <c r="B20" s="109" t="s">
        <v>91</v>
      </c>
      <c r="C20" s="110">
        <v>127.0</v>
      </c>
      <c r="D20" s="77"/>
      <c r="E20" s="74"/>
    </row>
    <row r="21">
      <c r="A21" s="77"/>
      <c r="B21" s="109" t="s">
        <v>92</v>
      </c>
      <c r="C21" s="110">
        <v>125.0</v>
      </c>
      <c r="D21" s="77"/>
      <c r="E21" s="74"/>
    </row>
    <row r="22">
      <c r="A22" s="77"/>
      <c r="B22" s="109" t="s">
        <v>57</v>
      </c>
      <c r="C22" s="110">
        <v>120.0</v>
      </c>
      <c r="D22" s="77"/>
      <c r="E22" s="74"/>
    </row>
    <row r="23">
      <c r="A23" s="77"/>
      <c r="B23" s="109" t="s">
        <v>93</v>
      </c>
      <c r="C23" s="110">
        <v>119.0</v>
      </c>
      <c r="D23" s="77"/>
      <c r="E23" s="74"/>
    </row>
    <row r="24">
      <c r="A24" s="77"/>
      <c r="B24" s="109" t="s">
        <v>94</v>
      </c>
      <c r="C24" s="110">
        <v>118.0</v>
      </c>
      <c r="D24" s="77"/>
      <c r="E24" s="74"/>
    </row>
    <row r="25">
      <c r="A25" s="77"/>
      <c r="B25" s="109" t="s">
        <v>95</v>
      </c>
      <c r="C25" s="110">
        <v>86.0</v>
      </c>
      <c r="D25" s="77"/>
      <c r="E25" s="74"/>
    </row>
    <row r="26">
      <c r="A26" s="77"/>
      <c r="B26" s="109" t="s">
        <v>96</v>
      </c>
      <c r="C26" s="110">
        <v>78.0</v>
      </c>
      <c r="D26" s="77"/>
      <c r="E26" s="74"/>
    </row>
    <row r="27">
      <c r="A27" s="77"/>
      <c r="B27" s="109" t="s">
        <v>76</v>
      </c>
      <c r="C27" s="110">
        <v>55.0</v>
      </c>
      <c r="D27" s="77"/>
      <c r="E27" s="74"/>
    </row>
    <row r="28">
      <c r="A28" s="77"/>
      <c r="B28" s="111"/>
      <c r="C28" s="111"/>
      <c r="D28" s="77"/>
      <c r="E28" s="74"/>
    </row>
    <row r="29">
      <c r="A29" s="77"/>
      <c r="B29" s="111"/>
      <c r="C29" s="111"/>
      <c r="D29" s="77"/>
      <c r="E29" s="74"/>
    </row>
    <row r="30">
      <c r="A30" s="77"/>
      <c r="B30" s="111"/>
      <c r="C30" s="111"/>
      <c r="D30" s="77"/>
      <c r="E30" s="74"/>
    </row>
    <row r="31">
      <c r="A31" s="77"/>
      <c r="B31" s="111"/>
      <c r="C31" s="111"/>
      <c r="D31" s="77"/>
      <c r="E31" s="74"/>
    </row>
    <row r="32">
      <c r="A32" s="77"/>
      <c r="B32" s="111"/>
      <c r="C32" s="111"/>
      <c r="D32" s="77"/>
      <c r="E32" s="74"/>
    </row>
    <row r="33">
      <c r="A33" s="77"/>
      <c r="B33" s="111"/>
      <c r="C33" s="111"/>
      <c r="D33" s="77"/>
      <c r="E33" s="74"/>
    </row>
    <row r="34">
      <c r="A34" s="77"/>
      <c r="B34" s="111"/>
      <c r="C34" s="111"/>
      <c r="D34" s="77"/>
      <c r="E34" s="74"/>
    </row>
    <row r="35">
      <c r="A35" s="77"/>
      <c r="B35" s="111"/>
      <c r="C35" s="111"/>
      <c r="D35" s="77"/>
      <c r="E35" s="74"/>
    </row>
    <row r="36">
      <c r="A36" s="77"/>
      <c r="B36" s="111"/>
      <c r="C36" s="111"/>
      <c r="D36" s="77"/>
      <c r="E36" s="74"/>
    </row>
    <row r="37">
      <c r="A37" s="77"/>
      <c r="B37" s="111"/>
      <c r="C37" s="111"/>
      <c r="D37" s="77"/>
      <c r="E37" s="74"/>
    </row>
    <row r="38">
      <c r="A38" s="77"/>
      <c r="B38" s="111"/>
      <c r="C38" s="111"/>
      <c r="D38" s="77"/>
      <c r="E38" s="74"/>
    </row>
    <row r="39">
      <c r="A39" s="77"/>
      <c r="B39" s="111"/>
      <c r="C39" s="111"/>
      <c r="D39" s="77"/>
      <c r="E39" s="74"/>
    </row>
    <row r="40">
      <c r="A40" s="77"/>
      <c r="B40" s="111"/>
      <c r="C40" s="111"/>
      <c r="D40" s="77"/>
      <c r="E40" s="74"/>
    </row>
    <row r="41">
      <c r="A41" s="77"/>
      <c r="B41" s="111"/>
      <c r="C41" s="111"/>
      <c r="D41" s="77"/>
      <c r="E41" s="74"/>
    </row>
    <row r="42">
      <c r="A42" s="77"/>
      <c r="B42" s="111"/>
      <c r="C42" s="111"/>
      <c r="D42" s="77"/>
      <c r="E42" s="74"/>
    </row>
    <row r="43">
      <c r="A43" s="77"/>
      <c r="B43" s="111"/>
      <c r="C43" s="111"/>
      <c r="D43" s="77"/>
      <c r="E43" s="74"/>
    </row>
    <row r="44">
      <c r="A44" s="77"/>
      <c r="B44" s="111"/>
      <c r="C44" s="111"/>
      <c r="D44" s="77"/>
      <c r="E44" s="74"/>
    </row>
    <row r="45">
      <c r="A45" s="77"/>
      <c r="B45" s="111"/>
      <c r="C45" s="111"/>
      <c r="D45" s="77"/>
      <c r="E45" s="74"/>
    </row>
    <row r="46">
      <c r="A46" s="77"/>
      <c r="B46" s="111"/>
      <c r="C46" s="111"/>
      <c r="D46" s="77"/>
      <c r="E46" s="74"/>
    </row>
    <row r="47">
      <c r="A47" s="77"/>
      <c r="B47" s="111"/>
      <c r="C47" s="111"/>
      <c r="D47" s="77"/>
      <c r="E47" s="74"/>
    </row>
    <row r="48">
      <c r="A48" s="77"/>
      <c r="B48" s="111"/>
      <c r="C48" s="111"/>
      <c r="D48" s="77"/>
      <c r="E48" s="74"/>
    </row>
    <row r="49">
      <c r="A49" s="77"/>
      <c r="B49" s="111"/>
      <c r="C49" s="111"/>
      <c r="D49" s="77"/>
      <c r="E49" s="74"/>
    </row>
    <row r="50">
      <c r="A50" s="77"/>
      <c r="B50" s="111"/>
      <c r="C50" s="111"/>
      <c r="D50" s="77"/>
      <c r="E50" s="74"/>
    </row>
    <row r="51">
      <c r="A51" s="77"/>
      <c r="B51" s="111"/>
      <c r="C51" s="111"/>
      <c r="D51" s="77"/>
      <c r="E51" s="74"/>
    </row>
    <row r="52">
      <c r="A52" s="77"/>
      <c r="B52" s="111"/>
      <c r="C52" s="111"/>
      <c r="D52" s="77"/>
      <c r="E52" s="74"/>
    </row>
    <row r="53">
      <c r="A53" s="77"/>
      <c r="B53" s="111"/>
      <c r="C53" s="111"/>
      <c r="D53" s="77"/>
      <c r="E53" s="74"/>
    </row>
    <row r="54">
      <c r="A54" s="77"/>
      <c r="B54" s="111"/>
      <c r="C54" s="111"/>
      <c r="D54" s="77"/>
      <c r="E54" s="74"/>
    </row>
    <row r="55">
      <c r="A55" s="77"/>
      <c r="B55" s="111"/>
      <c r="C55" s="111"/>
      <c r="D55" s="77"/>
      <c r="E55" s="74"/>
    </row>
    <row r="56">
      <c r="A56" s="77"/>
      <c r="B56" s="111"/>
      <c r="C56" s="111"/>
      <c r="D56" s="77"/>
      <c r="E56" s="74"/>
    </row>
    <row r="57">
      <c r="A57" s="77"/>
      <c r="B57" s="111"/>
      <c r="C57" s="111"/>
      <c r="D57" s="77"/>
      <c r="E57" s="74"/>
    </row>
    <row r="58">
      <c r="A58" s="77"/>
      <c r="B58" s="111"/>
      <c r="C58" s="111"/>
      <c r="D58" s="77"/>
      <c r="E58" s="74"/>
    </row>
    <row r="59">
      <c r="A59" s="77"/>
      <c r="B59" s="111"/>
      <c r="C59" s="111"/>
      <c r="D59" s="77"/>
      <c r="E59" s="74"/>
    </row>
    <row r="60">
      <c r="A60" s="77"/>
      <c r="B60" s="111"/>
      <c r="C60" s="111"/>
      <c r="D60" s="77"/>
      <c r="E60" s="74"/>
    </row>
    <row r="61">
      <c r="A61" s="77"/>
      <c r="B61" s="111"/>
      <c r="C61" s="111"/>
      <c r="D61" s="77"/>
      <c r="E61" s="74"/>
    </row>
    <row r="62">
      <c r="A62" s="77"/>
      <c r="B62" s="111"/>
      <c r="C62" s="111"/>
      <c r="D62" s="77"/>
      <c r="E62" s="74"/>
    </row>
    <row r="63">
      <c r="A63" s="77"/>
      <c r="B63" s="111"/>
      <c r="C63" s="111"/>
      <c r="D63" s="77"/>
      <c r="E63" s="74"/>
    </row>
    <row r="64">
      <c r="A64" s="77"/>
      <c r="B64" s="111"/>
      <c r="C64" s="111"/>
      <c r="D64" s="77"/>
      <c r="E64" s="74"/>
    </row>
    <row r="65">
      <c r="A65" s="77"/>
      <c r="B65" s="111"/>
      <c r="C65" s="111"/>
      <c r="D65" s="77"/>
      <c r="E65" s="74"/>
    </row>
    <row r="66">
      <c r="A66" s="77"/>
      <c r="B66" s="111"/>
      <c r="C66" s="111"/>
      <c r="D66" s="77"/>
      <c r="E66" s="74"/>
    </row>
    <row r="67">
      <c r="A67" s="77"/>
      <c r="B67" s="111"/>
      <c r="C67" s="111"/>
      <c r="D67" s="77"/>
      <c r="E67" s="74"/>
    </row>
    <row r="68">
      <c r="A68" s="77"/>
      <c r="B68" s="111"/>
      <c r="C68" s="111"/>
      <c r="D68" s="77"/>
      <c r="E68" s="74"/>
    </row>
    <row r="69">
      <c r="A69" s="77"/>
      <c r="B69" s="111"/>
      <c r="C69" s="111"/>
      <c r="D69" s="77"/>
      <c r="E69" s="74"/>
    </row>
    <row r="70">
      <c r="A70" s="77"/>
      <c r="B70" s="111"/>
      <c r="C70" s="111"/>
      <c r="D70" s="77"/>
      <c r="E70" s="74"/>
    </row>
    <row r="71">
      <c r="A71" s="77"/>
      <c r="B71" s="111"/>
      <c r="C71" s="111"/>
      <c r="D71" s="77"/>
      <c r="E71" s="74"/>
    </row>
    <row r="72">
      <c r="A72" s="77"/>
      <c r="B72" s="111"/>
      <c r="C72" s="111"/>
      <c r="D72" s="77"/>
      <c r="E72" s="74"/>
    </row>
    <row r="73">
      <c r="A73" s="77"/>
      <c r="B73" s="111"/>
      <c r="C73" s="111"/>
      <c r="D73" s="77"/>
      <c r="E73" s="74"/>
    </row>
    <row r="74">
      <c r="A74" s="77"/>
      <c r="B74" s="111"/>
      <c r="C74" s="111"/>
      <c r="D74" s="77"/>
      <c r="E74" s="74"/>
    </row>
    <row r="75">
      <c r="A75" s="77"/>
      <c r="B75" s="111"/>
      <c r="C75" s="111"/>
      <c r="D75" s="77"/>
      <c r="E75" s="74"/>
    </row>
    <row r="76">
      <c r="A76" s="77"/>
      <c r="B76" s="111"/>
      <c r="C76" s="111"/>
      <c r="D76" s="77"/>
      <c r="E76" s="74"/>
    </row>
    <row r="77">
      <c r="A77" s="77"/>
      <c r="B77" s="111"/>
      <c r="C77" s="111"/>
      <c r="D77" s="77"/>
      <c r="E77" s="74"/>
    </row>
    <row r="78">
      <c r="A78" s="77"/>
      <c r="B78" s="111"/>
      <c r="C78" s="111"/>
      <c r="D78" s="77"/>
      <c r="E78" s="74"/>
    </row>
    <row r="79">
      <c r="A79" s="77"/>
      <c r="B79" s="111"/>
      <c r="C79" s="111"/>
      <c r="D79" s="77"/>
      <c r="E79" s="74"/>
    </row>
    <row r="80">
      <c r="A80" s="77"/>
      <c r="B80" s="111"/>
      <c r="C80" s="111"/>
      <c r="D80" s="77"/>
      <c r="E80" s="74"/>
    </row>
    <row r="81">
      <c r="A81" s="77"/>
      <c r="B81" s="111"/>
      <c r="C81" s="111"/>
      <c r="D81" s="77"/>
      <c r="E81" s="74"/>
    </row>
    <row r="82">
      <c r="A82" s="77"/>
      <c r="B82" s="111"/>
      <c r="C82" s="111"/>
      <c r="D82" s="77"/>
      <c r="E82" s="74"/>
    </row>
    <row r="83">
      <c r="A83" s="77"/>
      <c r="B83" s="111"/>
      <c r="C83" s="111"/>
      <c r="D83" s="77"/>
      <c r="E83" s="74"/>
    </row>
    <row r="84">
      <c r="A84" s="77"/>
      <c r="B84" s="111"/>
      <c r="C84" s="111"/>
      <c r="D84" s="77"/>
      <c r="E84" s="74"/>
    </row>
    <row r="85">
      <c r="A85" s="77"/>
      <c r="B85" s="111"/>
      <c r="C85" s="111"/>
      <c r="D85" s="77"/>
      <c r="E85" s="74"/>
    </row>
    <row r="86">
      <c r="A86" s="77"/>
      <c r="B86" s="111"/>
      <c r="C86" s="111"/>
      <c r="D86" s="77"/>
      <c r="E86" s="74"/>
    </row>
    <row r="87">
      <c r="A87" s="77"/>
      <c r="B87" s="111"/>
      <c r="C87" s="111"/>
      <c r="D87" s="77"/>
      <c r="E87" s="74"/>
    </row>
    <row r="88">
      <c r="A88" s="77"/>
      <c r="B88" s="111"/>
      <c r="C88" s="111"/>
      <c r="D88" s="77"/>
      <c r="E88" s="74"/>
    </row>
    <row r="89">
      <c r="A89" s="77"/>
      <c r="B89" s="111"/>
      <c r="C89" s="111"/>
      <c r="D89" s="77"/>
      <c r="E89" s="74"/>
    </row>
    <row r="90">
      <c r="A90" s="77"/>
      <c r="B90" s="111"/>
      <c r="C90" s="111"/>
      <c r="D90" s="77"/>
      <c r="E90" s="74"/>
    </row>
    <row r="91">
      <c r="A91" s="77"/>
      <c r="B91" s="111"/>
      <c r="C91" s="111"/>
      <c r="D91" s="77"/>
      <c r="E91" s="74"/>
    </row>
    <row r="92">
      <c r="A92" s="77"/>
      <c r="B92" s="111"/>
      <c r="C92" s="111"/>
      <c r="D92" s="77"/>
      <c r="E92" s="74"/>
    </row>
    <row r="93">
      <c r="A93" s="77"/>
      <c r="B93" s="111"/>
      <c r="C93" s="111"/>
      <c r="D93" s="77"/>
      <c r="E93" s="74"/>
    </row>
    <row r="94">
      <c r="A94" s="77"/>
      <c r="B94" s="111"/>
      <c r="C94" s="111"/>
      <c r="D94" s="77"/>
      <c r="E94" s="74"/>
    </row>
    <row r="95">
      <c r="A95" s="77"/>
      <c r="B95" s="111"/>
      <c r="C95" s="111"/>
      <c r="D95" s="77"/>
      <c r="E95" s="74"/>
    </row>
    <row r="96">
      <c r="A96" s="77"/>
      <c r="B96" s="111"/>
      <c r="C96" s="111"/>
      <c r="D96" s="77"/>
      <c r="E96" s="74"/>
    </row>
    <row r="97">
      <c r="A97" s="77"/>
      <c r="B97" s="111"/>
      <c r="C97" s="111"/>
      <c r="D97" s="77"/>
      <c r="E97" s="74"/>
    </row>
    <row r="98">
      <c r="A98" s="77"/>
      <c r="B98" s="111"/>
      <c r="C98" s="111"/>
      <c r="D98" s="77"/>
      <c r="E98" s="74"/>
    </row>
    <row r="99">
      <c r="A99" s="77"/>
      <c r="B99" s="111"/>
      <c r="C99" s="111"/>
      <c r="D99" s="77"/>
      <c r="E99" s="74"/>
    </row>
    <row r="100">
      <c r="A100" s="77"/>
      <c r="B100" s="111"/>
      <c r="C100" s="111"/>
      <c r="D100" s="77"/>
      <c r="E100" s="74"/>
    </row>
    <row r="101">
      <c r="A101" s="77"/>
      <c r="B101" s="111"/>
      <c r="C101" s="111"/>
      <c r="D101" s="77"/>
      <c r="E101" s="74"/>
    </row>
    <row r="102">
      <c r="A102" s="77"/>
      <c r="B102" s="111"/>
      <c r="C102" s="111"/>
      <c r="D102" s="77"/>
      <c r="E102" s="74"/>
    </row>
    <row r="103">
      <c r="A103" s="77"/>
      <c r="B103" s="111"/>
      <c r="C103" s="111"/>
      <c r="D103" s="77"/>
      <c r="E103" s="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2" max="2" width="42.25"/>
  </cols>
  <sheetData>
    <row r="1">
      <c r="A1" s="67"/>
      <c r="B1" s="68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>
      <c r="A2" s="71"/>
      <c r="B2" s="68" t="s">
        <v>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>
      <c r="A3" s="71"/>
      <c r="B3" s="68" t="s">
        <v>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>
      <c r="A4" s="71"/>
      <c r="B4" s="72" t="s">
        <v>97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4"/>
    </row>
    <row r="5">
      <c r="A5" s="75"/>
      <c r="B5" s="76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77"/>
    </row>
    <row r="6">
      <c r="A6" s="75"/>
      <c r="B6" s="78" t="s">
        <v>5</v>
      </c>
      <c r="C6" s="79" t="s">
        <v>6</v>
      </c>
      <c r="D6" s="12"/>
      <c r="E6" s="78" t="s">
        <v>7</v>
      </c>
      <c r="F6" s="78" t="s">
        <v>8</v>
      </c>
      <c r="G6" s="78" t="s">
        <v>9</v>
      </c>
      <c r="H6" s="78" t="s">
        <v>10</v>
      </c>
      <c r="I6" s="78" t="s">
        <v>11</v>
      </c>
      <c r="J6" s="78" t="s">
        <v>12</v>
      </c>
      <c r="K6" s="78" t="s">
        <v>13</v>
      </c>
      <c r="L6" s="78" t="s">
        <v>14</v>
      </c>
      <c r="M6" s="78" t="s">
        <v>15</v>
      </c>
      <c r="N6" s="78" t="s">
        <v>16</v>
      </c>
      <c r="O6" s="78" t="s">
        <v>17</v>
      </c>
      <c r="P6" s="77"/>
    </row>
    <row r="7">
      <c r="A7" s="75"/>
      <c r="B7" s="80" t="s">
        <v>98</v>
      </c>
      <c r="C7" s="81" t="s">
        <v>19</v>
      </c>
      <c r="D7" s="82" t="s">
        <v>20</v>
      </c>
      <c r="E7" s="82" t="s">
        <v>21</v>
      </c>
      <c r="F7" s="82" t="s">
        <v>22</v>
      </c>
      <c r="G7" s="81" t="s">
        <v>23</v>
      </c>
      <c r="H7" s="83">
        <v>10851.0</v>
      </c>
      <c r="I7" s="84">
        <f t="shared" ref="I7:I8" si="1">J7/H7*100</f>
        <v>12.69007465</v>
      </c>
      <c r="J7" s="83">
        <v>1377.0</v>
      </c>
      <c r="K7" s="85">
        <f t="shared" ref="K7:K9" si="2">O7/J7</f>
        <v>32.67973856</v>
      </c>
      <c r="L7" s="86">
        <v>0.03</v>
      </c>
      <c r="M7" s="87">
        <f t="shared" ref="M7:M8" si="3">J7*L7</f>
        <v>41.31</v>
      </c>
      <c r="N7" s="85">
        <f t="shared" ref="N7:N8" si="4">O7/M7</f>
        <v>1089.324619</v>
      </c>
      <c r="O7" s="88">
        <v>45000.0</v>
      </c>
      <c r="P7" s="77"/>
    </row>
    <row r="8">
      <c r="A8" s="75"/>
      <c r="B8" s="26"/>
      <c r="C8" s="26"/>
      <c r="D8" s="82" t="s">
        <v>24</v>
      </c>
      <c r="E8" s="82" t="s">
        <v>25</v>
      </c>
      <c r="F8" s="82" t="s">
        <v>26</v>
      </c>
      <c r="G8" s="26"/>
      <c r="H8" s="83">
        <v>124176.0</v>
      </c>
      <c r="I8" s="89">
        <f t="shared" si="1"/>
        <v>1.798254091</v>
      </c>
      <c r="J8" s="83">
        <v>2233.0</v>
      </c>
      <c r="K8" s="85">
        <f t="shared" si="2"/>
        <v>8.956560681</v>
      </c>
      <c r="L8" s="86">
        <v>0.013</v>
      </c>
      <c r="M8" s="87">
        <f t="shared" si="3"/>
        <v>29.029</v>
      </c>
      <c r="N8" s="85">
        <f t="shared" si="4"/>
        <v>688.9662062</v>
      </c>
      <c r="O8" s="88">
        <v>20000.0</v>
      </c>
      <c r="P8" s="77"/>
    </row>
    <row r="9">
      <c r="A9" s="75"/>
      <c r="B9" s="79" t="s">
        <v>27</v>
      </c>
      <c r="C9" s="11"/>
      <c r="D9" s="11"/>
      <c r="E9" s="11"/>
      <c r="F9" s="11"/>
      <c r="G9" s="12"/>
      <c r="H9" s="90">
        <f>SUM(H7:H8)</f>
        <v>135027</v>
      </c>
      <c r="I9" s="91">
        <f>AVERAGE(I7:I8)</f>
        <v>7.244164369</v>
      </c>
      <c r="J9" s="90">
        <f>SUM(J7:J8)</f>
        <v>3610</v>
      </c>
      <c r="K9" s="92">
        <f t="shared" si="2"/>
        <v>18.00554017</v>
      </c>
      <c r="L9" s="93">
        <f>M9/J9*1</f>
        <v>0.01948448753</v>
      </c>
      <c r="M9" s="90">
        <f>SUM(M7:M8)</f>
        <v>70.339</v>
      </c>
      <c r="N9" s="92">
        <f>AVERAGE(N7:N8)</f>
        <v>889.1454125</v>
      </c>
      <c r="O9" s="92">
        <f>SUM(O7:O8)</f>
        <v>65000</v>
      </c>
      <c r="P9" s="77"/>
    </row>
    <row r="10">
      <c r="A10" s="71"/>
      <c r="B10" s="94"/>
      <c r="C10" s="95"/>
      <c r="D10" s="96"/>
      <c r="E10" s="97"/>
      <c r="F10" s="96"/>
      <c r="J10" s="36"/>
      <c r="K10" s="98"/>
      <c r="L10" s="74"/>
      <c r="M10" s="74"/>
      <c r="N10" s="74"/>
      <c r="O10" s="74"/>
      <c r="P10" s="74"/>
    </row>
    <row r="11">
      <c r="A11" s="75"/>
      <c r="B11" s="99" t="s">
        <v>28</v>
      </c>
      <c r="C11" s="11"/>
      <c r="D11" s="11"/>
      <c r="E11" s="12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74"/>
    </row>
    <row r="12">
      <c r="A12" s="75"/>
      <c r="B12" s="100" t="s">
        <v>29</v>
      </c>
      <c r="C12" s="11"/>
      <c r="D12" s="11"/>
      <c r="E12" s="12"/>
      <c r="F12" s="101"/>
      <c r="G12" s="42"/>
      <c r="H12" s="42"/>
      <c r="I12" s="42"/>
      <c r="J12" s="43"/>
      <c r="K12" s="98"/>
      <c r="L12" s="74"/>
      <c r="M12" s="74"/>
      <c r="N12" s="74"/>
      <c r="O12" s="74"/>
      <c r="P12" s="74"/>
    </row>
    <row r="13">
      <c r="A13" s="75"/>
      <c r="B13" s="100" t="s">
        <v>30</v>
      </c>
      <c r="C13" s="11"/>
      <c r="D13" s="11"/>
      <c r="E13" s="12"/>
      <c r="F13" s="102"/>
      <c r="G13" s="45"/>
      <c r="H13" s="45"/>
      <c r="I13" s="45"/>
      <c r="J13" s="46"/>
      <c r="K13" s="98"/>
      <c r="L13" s="74"/>
      <c r="M13" s="74"/>
      <c r="N13" s="74"/>
      <c r="O13" s="74"/>
      <c r="P13" s="74"/>
    </row>
    <row r="14">
      <c r="A14" s="75"/>
      <c r="B14" s="100" t="s">
        <v>31</v>
      </c>
      <c r="C14" s="11"/>
      <c r="D14" s="11"/>
      <c r="E14" s="12"/>
      <c r="F14" s="102"/>
      <c r="G14" s="45"/>
      <c r="H14" s="45"/>
      <c r="I14" s="45"/>
      <c r="J14" s="46"/>
      <c r="K14" s="98"/>
      <c r="L14" s="74"/>
      <c r="M14" s="74"/>
      <c r="N14" s="74"/>
      <c r="O14" s="74"/>
      <c r="P14" s="74"/>
    </row>
    <row r="15">
      <c r="A15" s="75"/>
      <c r="B15" s="100" t="s">
        <v>32</v>
      </c>
      <c r="C15" s="11"/>
      <c r="D15" s="11"/>
      <c r="E15" s="12"/>
      <c r="F15" s="102"/>
      <c r="G15" s="45"/>
      <c r="H15" s="45"/>
      <c r="I15" s="45"/>
      <c r="J15" s="46"/>
      <c r="K15" s="98"/>
      <c r="L15" s="74"/>
      <c r="M15" s="74"/>
      <c r="N15" s="74"/>
      <c r="O15" s="74"/>
      <c r="P15" s="74"/>
    </row>
    <row r="16">
      <c r="A16" s="71"/>
      <c r="B16" s="100" t="s">
        <v>33</v>
      </c>
      <c r="C16" s="11"/>
      <c r="D16" s="11"/>
      <c r="E16" s="12"/>
      <c r="F16" s="103"/>
      <c r="G16" s="103"/>
      <c r="H16" s="103"/>
      <c r="I16" s="103"/>
      <c r="J16" s="103"/>
      <c r="K16" s="98"/>
      <c r="L16" s="74"/>
      <c r="M16" s="74"/>
      <c r="N16" s="74"/>
      <c r="O16" s="74"/>
      <c r="P16" s="74"/>
    </row>
    <row r="17">
      <c r="A17" s="71"/>
      <c r="B17" s="100" t="s">
        <v>34</v>
      </c>
      <c r="C17" s="11"/>
      <c r="D17" s="11"/>
      <c r="E17" s="12"/>
      <c r="F17" s="112"/>
      <c r="G17" s="103"/>
      <c r="H17" s="103"/>
      <c r="I17" s="103"/>
      <c r="J17" s="103"/>
      <c r="K17" s="98"/>
      <c r="L17" s="74"/>
      <c r="M17" s="74"/>
      <c r="N17" s="74"/>
      <c r="O17" s="74"/>
      <c r="P17" s="74"/>
    </row>
    <row r="18">
      <c r="A18" s="71"/>
      <c r="B18" s="100" t="s">
        <v>35</v>
      </c>
      <c r="C18" s="11"/>
      <c r="D18" s="11"/>
      <c r="E18" s="12"/>
      <c r="F18" s="113"/>
      <c r="G18" s="114"/>
      <c r="H18" s="103"/>
      <c r="I18" s="103"/>
      <c r="J18" s="103"/>
      <c r="K18" s="98"/>
      <c r="L18" s="74"/>
      <c r="M18" s="74"/>
      <c r="N18" s="74"/>
      <c r="O18" s="74"/>
      <c r="P18" s="74"/>
    </row>
    <row r="19">
      <c r="A19" s="71"/>
      <c r="B19" s="100" t="s">
        <v>36</v>
      </c>
      <c r="C19" s="11"/>
      <c r="D19" s="11"/>
      <c r="E19" s="12"/>
      <c r="F19" s="113"/>
      <c r="G19" s="114"/>
      <c r="H19" s="103"/>
      <c r="I19" s="103"/>
      <c r="J19" s="103"/>
      <c r="K19" s="98"/>
      <c r="L19" s="74"/>
      <c r="M19" s="74"/>
      <c r="N19" s="74"/>
      <c r="O19" s="74"/>
      <c r="P19" s="74"/>
    </row>
    <row r="20">
      <c r="A20" s="71"/>
      <c r="B20" s="104" t="s">
        <v>37</v>
      </c>
      <c r="C20" s="11"/>
      <c r="D20" s="11"/>
      <c r="E20" s="12"/>
      <c r="F20" s="113"/>
      <c r="G20" s="114"/>
      <c r="H20" s="103"/>
      <c r="I20" s="103"/>
      <c r="J20" s="103"/>
      <c r="K20" s="98"/>
      <c r="L20" s="74"/>
      <c r="M20" s="74"/>
      <c r="N20" s="74"/>
      <c r="O20" s="74"/>
      <c r="P20" s="74"/>
    </row>
    <row r="21">
      <c r="A21" s="71"/>
      <c r="B21" s="104" t="s">
        <v>38</v>
      </c>
      <c r="C21" s="11"/>
      <c r="D21" s="11"/>
      <c r="E21" s="12"/>
      <c r="F21" s="113"/>
      <c r="G21" s="114"/>
      <c r="H21" s="103"/>
      <c r="I21" s="103"/>
      <c r="J21" s="103"/>
      <c r="K21" s="98"/>
      <c r="L21" s="74"/>
      <c r="M21" s="74"/>
      <c r="N21" s="74"/>
      <c r="O21" s="74"/>
      <c r="P21" s="74"/>
    </row>
    <row r="22">
      <c r="A22" s="71"/>
      <c r="B22" s="104" t="s">
        <v>39</v>
      </c>
      <c r="C22" s="11"/>
      <c r="D22" s="11"/>
      <c r="E22" s="12"/>
      <c r="F22" s="113"/>
      <c r="G22" s="114"/>
      <c r="H22" s="103"/>
      <c r="I22" s="103"/>
      <c r="J22" s="103"/>
      <c r="K22" s="98"/>
      <c r="L22" s="74"/>
      <c r="M22" s="74"/>
      <c r="N22" s="74"/>
      <c r="O22" s="74"/>
      <c r="P22" s="74"/>
    </row>
    <row r="23">
      <c r="A23" s="71"/>
      <c r="B23" s="104" t="s">
        <v>40</v>
      </c>
      <c r="C23" s="11"/>
      <c r="D23" s="11"/>
      <c r="E23" s="12"/>
      <c r="F23" s="105"/>
      <c r="G23" s="103"/>
      <c r="H23" s="103"/>
      <c r="I23" s="103"/>
      <c r="J23" s="103"/>
      <c r="K23" s="98"/>
      <c r="L23" s="74"/>
      <c r="M23" s="74"/>
      <c r="N23" s="74"/>
      <c r="O23" s="74"/>
      <c r="P23" s="74"/>
    </row>
    <row r="24">
      <c r="A24" s="71"/>
      <c r="B24" s="94"/>
      <c r="C24" s="95"/>
      <c r="D24" s="96"/>
      <c r="E24" s="97"/>
      <c r="F24" s="103"/>
      <c r="G24" s="103"/>
      <c r="H24" s="103"/>
      <c r="I24" s="103"/>
      <c r="J24" s="103"/>
      <c r="K24" s="98"/>
      <c r="L24" s="74"/>
      <c r="M24" s="74"/>
      <c r="N24" s="74"/>
      <c r="O24" s="74"/>
      <c r="P24" s="74"/>
    </row>
    <row r="25">
      <c r="A25" s="71"/>
      <c r="B25" s="94"/>
      <c r="C25" s="95"/>
      <c r="D25" s="96"/>
      <c r="E25" s="97"/>
      <c r="F25" s="103"/>
      <c r="G25" s="103"/>
      <c r="H25" s="103"/>
      <c r="I25" s="103"/>
      <c r="J25" s="103"/>
      <c r="K25" s="98"/>
      <c r="L25" s="74"/>
      <c r="M25" s="74"/>
      <c r="N25" s="74"/>
      <c r="O25" s="74"/>
      <c r="P25" s="74"/>
    </row>
    <row r="26">
      <c r="A26" s="71"/>
      <c r="B26" s="94"/>
      <c r="C26" s="95"/>
      <c r="D26" s="96"/>
      <c r="E26" s="97"/>
      <c r="F26" s="103"/>
      <c r="G26" s="103"/>
      <c r="H26" s="103"/>
      <c r="I26" s="103"/>
      <c r="J26" s="103"/>
      <c r="K26" s="98"/>
      <c r="L26" s="74"/>
      <c r="M26" s="74"/>
      <c r="N26" s="74"/>
      <c r="O26" s="74"/>
      <c r="P26" s="74"/>
    </row>
    <row r="27">
      <c r="A27" s="71"/>
      <c r="B27" s="94"/>
      <c r="C27" s="95"/>
      <c r="D27" s="96"/>
      <c r="E27" s="97"/>
      <c r="F27" s="103"/>
      <c r="G27" s="103"/>
      <c r="H27" s="103"/>
      <c r="I27" s="103"/>
      <c r="J27" s="103"/>
      <c r="K27" s="98"/>
      <c r="L27" s="74"/>
      <c r="M27" s="74"/>
      <c r="N27" s="74"/>
      <c r="O27" s="74"/>
      <c r="P27" s="74"/>
    </row>
    <row r="28">
      <c r="A28" s="71"/>
      <c r="B28" s="94"/>
      <c r="C28" s="95"/>
      <c r="D28" s="96"/>
      <c r="E28" s="97"/>
      <c r="F28" s="103"/>
      <c r="G28" s="103"/>
      <c r="H28" s="103"/>
      <c r="I28" s="103"/>
      <c r="J28" s="103"/>
      <c r="K28" s="98"/>
      <c r="L28" s="74"/>
      <c r="M28" s="74"/>
      <c r="N28" s="74"/>
      <c r="O28" s="74"/>
      <c r="P28" s="74"/>
    </row>
  </sheetData>
  <mergeCells count="24">
    <mergeCell ref="B5:O5"/>
    <mergeCell ref="C6:D6"/>
    <mergeCell ref="B7:B8"/>
    <mergeCell ref="C7:C8"/>
    <mergeCell ref="G7:G8"/>
    <mergeCell ref="B9:G9"/>
    <mergeCell ref="F10:J10"/>
    <mergeCell ref="B11:E11"/>
    <mergeCell ref="B12:E12"/>
    <mergeCell ref="F12:J12"/>
    <mergeCell ref="B13:E13"/>
    <mergeCell ref="F13:J13"/>
    <mergeCell ref="B14:E14"/>
    <mergeCell ref="F14:J14"/>
    <mergeCell ref="B21:E21"/>
    <mergeCell ref="B22:E22"/>
    <mergeCell ref="B23:E23"/>
    <mergeCell ref="B15:E15"/>
    <mergeCell ref="F15:J15"/>
    <mergeCell ref="B16:E16"/>
    <mergeCell ref="B17:E17"/>
    <mergeCell ref="B18:E18"/>
    <mergeCell ref="B19:E19"/>
    <mergeCell ref="B20:E20"/>
  </mergeCells>
  <hyperlinks>
    <hyperlink r:id="rId1" ref="B7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2" max="2" width="45.0"/>
  </cols>
  <sheetData>
    <row r="1">
      <c r="A1" s="71"/>
      <c r="B1" s="74"/>
      <c r="C1" s="74"/>
      <c r="D1" s="74"/>
      <c r="E1" s="74"/>
    </row>
    <row r="2">
      <c r="A2" s="67"/>
      <c r="B2" s="106" t="s">
        <v>0</v>
      </c>
      <c r="C2" s="70"/>
      <c r="D2" s="70"/>
      <c r="E2" s="74"/>
    </row>
    <row r="3">
      <c r="A3" s="71"/>
      <c r="B3" s="106" t="s">
        <v>1</v>
      </c>
      <c r="C3" s="70"/>
      <c r="D3" s="70"/>
      <c r="E3" s="74"/>
    </row>
    <row r="4">
      <c r="A4" s="71"/>
      <c r="B4" s="106" t="s">
        <v>2</v>
      </c>
      <c r="C4" s="70"/>
      <c r="D4" s="70"/>
      <c r="E4" s="74"/>
    </row>
    <row r="5">
      <c r="A5" s="71"/>
      <c r="B5" s="107" t="s">
        <v>97</v>
      </c>
      <c r="C5" s="74"/>
      <c r="D5" s="74"/>
      <c r="E5" s="74"/>
    </row>
    <row r="6">
      <c r="A6" s="77"/>
      <c r="B6" s="108" t="s">
        <v>41</v>
      </c>
      <c r="C6" s="108" t="s">
        <v>42</v>
      </c>
      <c r="D6" s="77"/>
      <c r="E6" s="74"/>
    </row>
    <row r="7">
      <c r="A7" s="77"/>
      <c r="B7" s="109" t="s">
        <v>43</v>
      </c>
      <c r="C7" s="110">
        <v>4950.0</v>
      </c>
      <c r="D7" s="77"/>
      <c r="E7" s="74"/>
    </row>
    <row r="8">
      <c r="A8" s="77"/>
      <c r="B8" s="109" t="s">
        <v>99</v>
      </c>
      <c r="C8" s="110">
        <v>2545.0</v>
      </c>
      <c r="D8" s="77"/>
      <c r="E8" s="74"/>
    </row>
    <row r="9">
      <c r="A9" s="77"/>
      <c r="B9" s="109" t="s">
        <v>45</v>
      </c>
      <c r="C9" s="110">
        <v>1338.0</v>
      </c>
      <c r="D9" s="77"/>
      <c r="E9" s="74"/>
    </row>
    <row r="10">
      <c r="A10" s="77"/>
      <c r="B10" s="109" t="s">
        <v>46</v>
      </c>
      <c r="C10" s="110">
        <v>849.0</v>
      </c>
      <c r="D10" s="77"/>
      <c r="E10" s="74"/>
    </row>
    <row r="11">
      <c r="A11" s="77"/>
      <c r="B11" s="109" t="s">
        <v>100</v>
      </c>
      <c r="C11" s="110">
        <v>564.0</v>
      </c>
      <c r="D11" s="77"/>
      <c r="E11" s="74"/>
    </row>
    <row r="12">
      <c r="A12" s="77"/>
      <c r="B12" s="109" t="s">
        <v>72</v>
      </c>
      <c r="C12" s="110">
        <v>325.0</v>
      </c>
      <c r="D12" s="77"/>
      <c r="E12" s="74"/>
    </row>
    <row r="13">
      <c r="A13" s="77"/>
      <c r="B13" s="109" t="s">
        <v>49</v>
      </c>
      <c r="C13" s="110">
        <v>309.0</v>
      </c>
      <c r="D13" s="77"/>
      <c r="E13" s="74"/>
    </row>
    <row r="14">
      <c r="A14" s="77"/>
      <c r="B14" s="109" t="s">
        <v>101</v>
      </c>
      <c r="C14" s="110">
        <v>277.0</v>
      </c>
      <c r="D14" s="77"/>
      <c r="E14" s="74"/>
    </row>
    <row r="15">
      <c r="A15" s="77"/>
      <c r="B15" s="109" t="s">
        <v>48</v>
      </c>
      <c r="C15" s="110">
        <v>267.0</v>
      </c>
      <c r="D15" s="77"/>
      <c r="E15" s="74"/>
    </row>
    <row r="16">
      <c r="A16" s="77"/>
      <c r="B16" s="109" t="s">
        <v>102</v>
      </c>
      <c r="C16" s="110">
        <v>260.0</v>
      </c>
      <c r="D16" s="77"/>
      <c r="E16" s="74"/>
    </row>
    <row r="17">
      <c r="A17" s="77"/>
      <c r="B17" s="109" t="s">
        <v>54</v>
      </c>
      <c r="C17" s="110">
        <v>258.0</v>
      </c>
      <c r="D17" s="77"/>
      <c r="E17" s="74"/>
    </row>
    <row r="18">
      <c r="A18" s="77"/>
      <c r="B18" s="109" t="s">
        <v>77</v>
      </c>
      <c r="C18" s="110">
        <v>250.0</v>
      </c>
      <c r="D18" s="77"/>
      <c r="E18" s="74"/>
    </row>
    <row r="19">
      <c r="A19" s="77"/>
      <c r="B19" s="109" t="s">
        <v>103</v>
      </c>
      <c r="C19" s="110">
        <v>248.0</v>
      </c>
      <c r="D19" s="77"/>
      <c r="E19" s="74"/>
    </row>
    <row r="20">
      <c r="A20" s="77"/>
      <c r="B20" s="109" t="s">
        <v>104</v>
      </c>
      <c r="C20" s="110">
        <v>248.0</v>
      </c>
      <c r="D20" s="77"/>
      <c r="E20" s="74"/>
    </row>
    <row r="21">
      <c r="A21" s="77"/>
      <c r="B21" s="109" t="s">
        <v>105</v>
      </c>
      <c r="C21" s="110">
        <v>192.0</v>
      </c>
      <c r="D21" s="77"/>
      <c r="E21" s="74"/>
    </row>
    <row r="22">
      <c r="A22" s="77"/>
      <c r="B22" s="109" t="s">
        <v>106</v>
      </c>
      <c r="C22" s="110">
        <v>189.0</v>
      </c>
      <c r="D22" s="77"/>
      <c r="E22" s="74"/>
    </row>
    <row r="23">
      <c r="A23" s="77"/>
      <c r="B23" s="109" t="s">
        <v>51</v>
      </c>
      <c r="C23" s="110">
        <v>183.0</v>
      </c>
      <c r="D23" s="77"/>
      <c r="E23" s="74"/>
    </row>
    <row r="24">
      <c r="A24" s="77"/>
      <c r="B24" s="109" t="s">
        <v>57</v>
      </c>
      <c r="C24" s="110">
        <v>170.0</v>
      </c>
      <c r="D24" s="77"/>
      <c r="E24" s="74"/>
    </row>
    <row r="25">
      <c r="A25" s="77"/>
      <c r="B25" s="109" t="s">
        <v>107</v>
      </c>
      <c r="C25" s="110">
        <v>170.0</v>
      </c>
      <c r="D25" s="77"/>
      <c r="E25" s="74"/>
    </row>
    <row r="26">
      <c r="A26" s="77"/>
      <c r="B26" s="109" t="s">
        <v>93</v>
      </c>
      <c r="C26" s="110">
        <v>168.0</v>
      </c>
      <c r="D26" s="77"/>
      <c r="E26" s="74"/>
    </row>
    <row r="27">
      <c r="A27" s="77"/>
      <c r="B27" s="109" t="s">
        <v>108</v>
      </c>
      <c r="C27" s="110">
        <v>158.0</v>
      </c>
      <c r="D27" s="77"/>
      <c r="E27" s="74"/>
    </row>
    <row r="28">
      <c r="A28" s="77"/>
      <c r="B28" s="109" t="s">
        <v>109</v>
      </c>
      <c r="C28" s="110">
        <v>139.0</v>
      </c>
      <c r="D28" s="77"/>
      <c r="E28" s="74"/>
    </row>
    <row r="29">
      <c r="A29" s="77"/>
      <c r="B29" s="109" t="s">
        <v>110</v>
      </c>
      <c r="C29" s="110">
        <v>129.0</v>
      </c>
      <c r="D29" s="77"/>
      <c r="E29" s="74"/>
    </row>
    <row r="30">
      <c r="A30" s="77"/>
      <c r="B30" s="109" t="s">
        <v>56</v>
      </c>
      <c r="C30" s="110">
        <v>117.0</v>
      </c>
      <c r="D30" s="77"/>
      <c r="E30" s="74"/>
    </row>
    <row r="31">
      <c r="A31" s="77"/>
      <c r="B31" s="109" t="s">
        <v>111</v>
      </c>
      <c r="C31" s="110">
        <v>115.0</v>
      </c>
      <c r="D31" s="77"/>
      <c r="E31" s="74"/>
    </row>
    <row r="32">
      <c r="A32" s="77"/>
      <c r="B32" s="109" t="s">
        <v>112</v>
      </c>
      <c r="C32" s="110">
        <v>106.0</v>
      </c>
      <c r="D32" s="77"/>
      <c r="E32" s="74"/>
    </row>
    <row r="33">
      <c r="A33" s="77"/>
      <c r="B33" s="109" t="s">
        <v>113</v>
      </c>
      <c r="C33" s="110">
        <v>100.0</v>
      </c>
      <c r="D33" s="77"/>
      <c r="E33" s="74"/>
    </row>
    <row r="34">
      <c r="A34" s="77"/>
      <c r="B34" s="109" t="s">
        <v>114</v>
      </c>
      <c r="C34" s="110">
        <v>99.0</v>
      </c>
      <c r="D34" s="77"/>
      <c r="E34" s="74"/>
    </row>
    <row r="35">
      <c r="A35" s="77"/>
      <c r="B35" s="109" t="s">
        <v>115</v>
      </c>
      <c r="C35" s="110">
        <v>83.0</v>
      </c>
      <c r="D35" s="77"/>
      <c r="E35" s="74"/>
    </row>
    <row r="36">
      <c r="A36" s="77"/>
      <c r="B36" s="115"/>
      <c r="C36" s="111"/>
      <c r="D36" s="77"/>
      <c r="E36" s="74"/>
    </row>
    <row r="37">
      <c r="A37" s="77"/>
      <c r="B37" s="115"/>
      <c r="C37" s="111"/>
      <c r="D37" s="77"/>
      <c r="E37" s="74"/>
    </row>
    <row r="38">
      <c r="A38" s="77"/>
      <c r="B38" s="115"/>
      <c r="C38" s="111"/>
      <c r="D38" s="77"/>
      <c r="E38" s="74"/>
    </row>
    <row r="39">
      <c r="A39" s="77"/>
      <c r="B39" s="115"/>
      <c r="C39" s="111"/>
      <c r="D39" s="77"/>
      <c r="E39" s="74"/>
    </row>
    <row r="40">
      <c r="A40" s="77"/>
      <c r="B40" s="111"/>
      <c r="C40" s="111"/>
      <c r="D40" s="77"/>
      <c r="E40" s="74"/>
    </row>
    <row r="41">
      <c r="A41" s="77"/>
      <c r="B41" s="111"/>
      <c r="C41" s="111"/>
      <c r="D41" s="77"/>
      <c r="E41" s="74"/>
    </row>
    <row r="42">
      <c r="A42" s="77"/>
      <c r="B42" s="111"/>
      <c r="C42" s="111"/>
      <c r="D42" s="77"/>
      <c r="E42" s="74"/>
    </row>
    <row r="43">
      <c r="A43" s="77"/>
      <c r="B43" s="111"/>
      <c r="C43" s="111"/>
      <c r="D43" s="77"/>
      <c r="E43" s="74"/>
    </row>
    <row r="44">
      <c r="A44" s="77"/>
      <c r="B44" s="111"/>
      <c r="C44" s="111"/>
      <c r="D44" s="77"/>
      <c r="E44" s="74"/>
    </row>
    <row r="45">
      <c r="A45" s="77"/>
      <c r="B45" s="111"/>
      <c r="C45" s="111"/>
      <c r="D45" s="77"/>
      <c r="E45" s="74"/>
    </row>
    <row r="46">
      <c r="A46" s="77"/>
      <c r="B46" s="111"/>
      <c r="C46" s="111"/>
      <c r="D46" s="77"/>
      <c r="E46" s="74"/>
    </row>
    <row r="47">
      <c r="A47" s="77"/>
      <c r="B47" s="111"/>
      <c r="C47" s="111"/>
      <c r="D47" s="77"/>
      <c r="E47" s="74"/>
    </row>
    <row r="48">
      <c r="A48" s="77"/>
      <c r="B48" s="111"/>
      <c r="C48" s="111"/>
      <c r="D48" s="77"/>
      <c r="E48" s="74"/>
    </row>
    <row r="49">
      <c r="A49" s="77"/>
      <c r="B49" s="111"/>
      <c r="C49" s="111"/>
      <c r="D49" s="77"/>
      <c r="E49" s="74"/>
    </row>
    <row r="50">
      <c r="A50" s="77"/>
      <c r="B50" s="111"/>
      <c r="C50" s="111"/>
      <c r="D50" s="77"/>
      <c r="E50" s="74"/>
    </row>
    <row r="51">
      <c r="A51" s="77"/>
      <c r="B51" s="111"/>
      <c r="C51" s="111"/>
      <c r="D51" s="77"/>
      <c r="E51" s="74"/>
    </row>
    <row r="52">
      <c r="A52" s="77"/>
      <c r="B52" s="111"/>
      <c r="C52" s="111"/>
      <c r="D52" s="77"/>
      <c r="E52" s="74"/>
    </row>
    <row r="53">
      <c r="A53" s="77"/>
      <c r="B53" s="111"/>
      <c r="C53" s="111"/>
      <c r="D53" s="77"/>
      <c r="E53" s="74"/>
    </row>
    <row r="54">
      <c r="A54" s="77"/>
      <c r="B54" s="111"/>
      <c r="C54" s="111"/>
      <c r="D54" s="77"/>
      <c r="E54" s="74"/>
    </row>
    <row r="55">
      <c r="A55" s="77"/>
      <c r="B55" s="111"/>
      <c r="C55" s="111"/>
      <c r="D55" s="77"/>
      <c r="E55" s="74"/>
    </row>
    <row r="56">
      <c r="A56" s="77"/>
      <c r="B56" s="111"/>
      <c r="C56" s="111"/>
      <c r="D56" s="77"/>
      <c r="E56" s="74"/>
    </row>
    <row r="57">
      <c r="A57" s="77"/>
      <c r="B57" s="111"/>
      <c r="C57" s="111"/>
      <c r="D57" s="77"/>
      <c r="E57" s="74"/>
    </row>
    <row r="58">
      <c r="A58" s="77"/>
      <c r="B58" s="111"/>
      <c r="C58" s="111"/>
      <c r="D58" s="77"/>
      <c r="E58" s="74"/>
    </row>
    <row r="59">
      <c r="A59" s="77"/>
      <c r="B59" s="111"/>
      <c r="C59" s="111"/>
      <c r="D59" s="77"/>
      <c r="E59" s="74"/>
    </row>
    <row r="60">
      <c r="A60" s="77"/>
      <c r="B60" s="111"/>
      <c r="C60" s="111"/>
      <c r="D60" s="77"/>
      <c r="E60" s="74"/>
    </row>
    <row r="61">
      <c r="A61" s="77"/>
      <c r="B61" s="111"/>
      <c r="C61" s="111"/>
      <c r="D61" s="77"/>
      <c r="E61" s="74"/>
    </row>
    <row r="62">
      <c r="A62" s="77"/>
      <c r="B62" s="111"/>
      <c r="C62" s="111"/>
      <c r="D62" s="77"/>
      <c r="E62" s="74"/>
    </row>
    <row r="63">
      <c r="A63" s="77"/>
      <c r="B63" s="111"/>
      <c r="C63" s="111"/>
      <c r="D63" s="77"/>
      <c r="E63" s="74"/>
    </row>
    <row r="64">
      <c r="A64" s="77"/>
      <c r="B64" s="111"/>
      <c r="C64" s="111"/>
      <c r="D64" s="77"/>
      <c r="E64" s="74"/>
    </row>
    <row r="65">
      <c r="A65" s="77"/>
      <c r="B65" s="111"/>
      <c r="C65" s="111"/>
      <c r="D65" s="77"/>
      <c r="E65" s="74"/>
    </row>
    <row r="66">
      <c r="A66" s="77"/>
      <c r="B66" s="111"/>
      <c r="C66" s="111"/>
      <c r="D66" s="77"/>
      <c r="E66" s="74"/>
    </row>
    <row r="67">
      <c r="A67" s="77"/>
      <c r="B67" s="111"/>
      <c r="C67" s="111"/>
      <c r="D67" s="77"/>
      <c r="E67" s="74"/>
    </row>
    <row r="68">
      <c r="A68" s="77"/>
      <c r="B68" s="111"/>
      <c r="C68" s="111"/>
      <c r="D68" s="77"/>
      <c r="E68" s="74"/>
    </row>
    <row r="69">
      <c r="A69" s="77"/>
      <c r="B69" s="111"/>
      <c r="C69" s="111"/>
      <c r="D69" s="77"/>
      <c r="E69" s="74"/>
    </row>
    <row r="70">
      <c r="A70" s="77"/>
      <c r="B70" s="111"/>
      <c r="C70" s="111"/>
      <c r="D70" s="77"/>
      <c r="E70" s="74"/>
    </row>
    <row r="71">
      <c r="A71" s="77"/>
      <c r="B71" s="111"/>
      <c r="C71" s="111"/>
      <c r="D71" s="77"/>
      <c r="E71" s="74"/>
    </row>
    <row r="72">
      <c r="A72" s="77"/>
      <c r="B72" s="111"/>
      <c r="C72" s="111"/>
      <c r="D72" s="77"/>
      <c r="E72" s="74"/>
    </row>
    <row r="73">
      <c r="A73" s="77"/>
      <c r="B73" s="111"/>
      <c r="C73" s="111"/>
      <c r="D73" s="77"/>
      <c r="E73" s="74"/>
    </row>
    <row r="74">
      <c r="A74" s="77"/>
      <c r="B74" s="111"/>
      <c r="C74" s="111"/>
      <c r="D74" s="77"/>
      <c r="E74" s="74"/>
    </row>
    <row r="75">
      <c r="A75" s="77"/>
      <c r="B75" s="111"/>
      <c r="C75" s="111"/>
      <c r="D75" s="77"/>
      <c r="E75" s="74"/>
    </row>
    <row r="76">
      <c r="A76" s="77"/>
      <c r="B76" s="111"/>
      <c r="C76" s="111"/>
      <c r="D76" s="77"/>
      <c r="E76" s="74"/>
    </row>
    <row r="77">
      <c r="A77" s="77"/>
      <c r="B77" s="111"/>
      <c r="C77" s="111"/>
      <c r="D77" s="77"/>
      <c r="E77" s="74"/>
    </row>
    <row r="78">
      <c r="A78" s="77"/>
      <c r="B78" s="111"/>
      <c r="C78" s="111"/>
      <c r="D78" s="77"/>
      <c r="E78" s="74"/>
    </row>
    <row r="79">
      <c r="A79" s="77"/>
      <c r="B79" s="111"/>
      <c r="C79" s="111"/>
      <c r="D79" s="77"/>
      <c r="E79" s="74"/>
    </row>
    <row r="80">
      <c r="A80" s="77"/>
      <c r="B80" s="111"/>
      <c r="C80" s="111"/>
      <c r="D80" s="77"/>
      <c r="E80" s="74"/>
    </row>
    <row r="81">
      <c r="A81" s="77"/>
      <c r="B81" s="111"/>
      <c r="C81" s="111"/>
      <c r="D81" s="77"/>
      <c r="E81" s="74"/>
    </row>
    <row r="82">
      <c r="A82" s="77"/>
      <c r="B82" s="111"/>
      <c r="C82" s="111"/>
      <c r="D82" s="77"/>
      <c r="E82" s="74"/>
    </row>
    <row r="83">
      <c r="A83" s="77"/>
      <c r="B83" s="111"/>
      <c r="C83" s="111"/>
      <c r="D83" s="77"/>
      <c r="E83" s="74"/>
    </row>
    <row r="84">
      <c r="A84" s="77"/>
      <c r="B84" s="111"/>
      <c r="C84" s="111"/>
      <c r="D84" s="77"/>
      <c r="E84" s="74"/>
    </row>
    <row r="85">
      <c r="A85" s="77"/>
      <c r="B85" s="111"/>
      <c r="C85" s="111"/>
      <c r="D85" s="77"/>
      <c r="E85" s="74"/>
    </row>
    <row r="86">
      <c r="A86" s="77"/>
      <c r="B86" s="111"/>
      <c r="C86" s="111"/>
      <c r="D86" s="77"/>
      <c r="E86" s="74"/>
    </row>
    <row r="87">
      <c r="A87" s="77"/>
      <c r="B87" s="111"/>
      <c r="C87" s="111"/>
      <c r="D87" s="77"/>
      <c r="E87" s="74"/>
    </row>
    <row r="88">
      <c r="A88" s="77"/>
      <c r="B88" s="111"/>
      <c r="C88" s="111"/>
      <c r="D88" s="77"/>
      <c r="E88" s="74"/>
    </row>
    <row r="89">
      <c r="A89" s="77"/>
      <c r="B89" s="111"/>
      <c r="C89" s="111"/>
      <c r="D89" s="77"/>
      <c r="E89" s="74"/>
    </row>
    <row r="90">
      <c r="A90" s="77"/>
      <c r="B90" s="111"/>
      <c r="C90" s="111"/>
      <c r="D90" s="77"/>
      <c r="E90" s="74"/>
    </row>
    <row r="91">
      <c r="A91" s="77"/>
      <c r="B91" s="111"/>
      <c r="C91" s="111"/>
      <c r="D91" s="77"/>
      <c r="E91" s="74"/>
    </row>
    <row r="92">
      <c r="A92" s="77"/>
      <c r="B92" s="111"/>
      <c r="C92" s="111"/>
      <c r="D92" s="77"/>
      <c r="E92" s="74"/>
    </row>
    <row r="93">
      <c r="A93" s="77"/>
      <c r="B93" s="111"/>
      <c r="C93" s="111"/>
      <c r="D93" s="77"/>
      <c r="E93" s="74"/>
    </row>
    <row r="94">
      <c r="A94" s="77"/>
      <c r="B94" s="111"/>
      <c r="C94" s="111"/>
      <c r="D94" s="77"/>
      <c r="E94" s="74"/>
    </row>
    <row r="95">
      <c r="A95" s="77"/>
      <c r="B95" s="111"/>
      <c r="C95" s="111"/>
      <c r="D95" s="77"/>
      <c r="E95" s="74"/>
    </row>
    <row r="96">
      <c r="A96" s="77"/>
      <c r="B96" s="111"/>
      <c r="C96" s="111"/>
      <c r="D96" s="77"/>
      <c r="E96" s="74"/>
    </row>
    <row r="97">
      <c r="A97" s="77"/>
      <c r="B97" s="111"/>
      <c r="C97" s="111"/>
      <c r="D97" s="77"/>
      <c r="E97" s="74"/>
    </row>
    <row r="98">
      <c r="A98" s="77"/>
      <c r="B98" s="111"/>
      <c r="C98" s="111"/>
      <c r="D98" s="77"/>
      <c r="E98" s="74"/>
    </row>
    <row r="99">
      <c r="A99" s="77"/>
      <c r="B99" s="111"/>
      <c r="C99" s="111"/>
      <c r="D99" s="77"/>
      <c r="E99" s="7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17.75"/>
    <col customWidth="1" min="3" max="3" width="9.75"/>
    <col customWidth="1" min="4" max="4" width="7.88"/>
    <col customWidth="1" min="5" max="5" width="13.5"/>
    <col customWidth="1" min="6" max="6" width="17.5"/>
    <col customWidth="1" min="7" max="7" width="12.38"/>
    <col customWidth="1" min="8" max="8" width="11.25"/>
    <col customWidth="1" min="9" max="9" width="7.75"/>
    <col customWidth="1" min="10" max="10" width="12.0"/>
    <col customWidth="1" min="11" max="11" width="12.38"/>
    <col customWidth="1" min="12" max="12" width="10.88"/>
    <col customWidth="1" min="13" max="13" width="11.13"/>
    <col customWidth="1" min="14" max="14" width="10.5"/>
    <col customWidth="1" min="15" max="15" width="15.88"/>
    <col customWidth="1" min="16" max="16" width="17.63"/>
  </cols>
  <sheetData>
    <row r="1" ht="9.0" customHeight="1">
      <c r="A1" s="4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ht="15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.75" customHeight="1">
      <c r="A3" s="4"/>
      <c r="B3" s="5" t="s">
        <v>116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15.75" customHeight="1">
      <c r="A4" s="4"/>
      <c r="B4" s="5" t="s">
        <v>117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ht="15.75" customHeight="1">
      <c r="A5" s="4"/>
      <c r="B5" s="8" t="s">
        <v>118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15.75" customHeight="1">
      <c r="A6" s="9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13"/>
    </row>
    <row r="7" ht="27.75" customHeight="1">
      <c r="A7" s="9"/>
      <c r="B7" s="14" t="s">
        <v>5</v>
      </c>
      <c r="C7" s="15" t="s">
        <v>6</v>
      </c>
      <c r="D7" s="12"/>
      <c r="E7" s="14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  <c r="M7" s="14" t="s">
        <v>15</v>
      </c>
      <c r="N7" s="14" t="s">
        <v>16</v>
      </c>
      <c r="O7" s="14" t="s">
        <v>17</v>
      </c>
      <c r="P7" s="16"/>
    </row>
    <row r="8" ht="43.5" customHeight="1">
      <c r="A8" s="9"/>
      <c r="B8" s="116" t="s">
        <v>119</v>
      </c>
      <c r="C8" s="18" t="s">
        <v>19</v>
      </c>
      <c r="D8" s="19" t="s">
        <v>20</v>
      </c>
      <c r="E8" s="19" t="s">
        <v>21</v>
      </c>
      <c r="F8" s="19" t="s">
        <v>120</v>
      </c>
      <c r="G8" s="18" t="s">
        <v>23</v>
      </c>
      <c r="H8" s="117">
        <v>7400.0</v>
      </c>
      <c r="I8" s="21">
        <f t="shared" ref="I8:I9" si="1">J8/H8*100</f>
        <v>10.13513514</v>
      </c>
      <c r="J8" s="117">
        <v>750.0</v>
      </c>
      <c r="K8" s="22">
        <f t="shared" ref="K8:K10" si="2">O8/J8</f>
        <v>160</v>
      </c>
      <c r="L8" s="118">
        <v>0.04</v>
      </c>
      <c r="M8" s="24">
        <f t="shared" ref="M8:M9" si="3">J8*L8</f>
        <v>30</v>
      </c>
      <c r="N8" s="22">
        <f t="shared" ref="N8:N9" si="4">O8/M8</f>
        <v>4000</v>
      </c>
      <c r="O8" s="119">
        <v>120000.0</v>
      </c>
      <c r="P8" s="16"/>
    </row>
    <row r="9" ht="54.0" customHeight="1">
      <c r="A9" s="9"/>
      <c r="B9" s="26"/>
      <c r="C9" s="26"/>
      <c r="D9" s="19" t="s">
        <v>24</v>
      </c>
      <c r="E9" s="19" t="s">
        <v>25</v>
      </c>
      <c r="F9" s="19" t="s">
        <v>26</v>
      </c>
      <c r="G9" s="26"/>
      <c r="H9" s="117">
        <v>77800.0</v>
      </c>
      <c r="I9" s="27">
        <f t="shared" si="1"/>
        <v>0.9254498715</v>
      </c>
      <c r="J9" s="117">
        <v>720.0</v>
      </c>
      <c r="K9" s="22">
        <f t="shared" si="2"/>
        <v>41.66666667</v>
      </c>
      <c r="L9" s="118">
        <v>0.015</v>
      </c>
      <c r="M9" s="24">
        <f t="shared" si="3"/>
        <v>10.8</v>
      </c>
      <c r="N9" s="22">
        <f t="shared" si="4"/>
        <v>2777.777778</v>
      </c>
      <c r="O9" s="119">
        <v>30000.0</v>
      </c>
      <c r="P9" s="16"/>
    </row>
    <row r="10" ht="15.75" customHeight="1">
      <c r="A10" s="9"/>
      <c r="B10" s="15" t="s">
        <v>27</v>
      </c>
      <c r="C10" s="11"/>
      <c r="D10" s="11"/>
      <c r="E10" s="11"/>
      <c r="F10" s="11"/>
      <c r="G10" s="12"/>
      <c r="H10" s="28">
        <f>SUM(H8:H9)</f>
        <v>85200</v>
      </c>
      <c r="I10" s="29">
        <f>AVERAGE(I8:I9)</f>
        <v>5.530292503</v>
      </c>
      <c r="J10" s="28">
        <f>SUM(J8:J9)</f>
        <v>1470</v>
      </c>
      <c r="K10" s="30">
        <f t="shared" si="2"/>
        <v>102.0408163</v>
      </c>
      <c r="L10" s="31">
        <f>M10/J10*1</f>
        <v>0.02775510204</v>
      </c>
      <c r="M10" s="28">
        <f>SUM(M8:M9)</f>
        <v>40.8</v>
      </c>
      <c r="N10" s="30">
        <f>AVERAGE(N8:N9)</f>
        <v>3388.888889</v>
      </c>
      <c r="O10" s="30">
        <f>SUM(O8:O9)</f>
        <v>150000</v>
      </c>
      <c r="P10" s="16"/>
    </row>
    <row r="11" ht="12.75" customHeight="1">
      <c r="A11" s="4"/>
      <c r="B11" s="32"/>
      <c r="C11" s="33"/>
      <c r="D11" s="34"/>
      <c r="E11" s="35"/>
      <c r="F11" s="34"/>
      <c r="J11" s="36"/>
      <c r="K11" s="37"/>
      <c r="L11" s="38"/>
      <c r="M11" s="38"/>
      <c r="N11" s="38"/>
      <c r="O11" s="38"/>
      <c r="P11" s="38"/>
    </row>
    <row r="12" ht="19.5" customHeight="1">
      <c r="A12" s="9"/>
      <c r="B12" s="10" t="s">
        <v>28</v>
      </c>
      <c r="C12" s="11"/>
      <c r="D12" s="11"/>
      <c r="E12" s="12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</row>
    <row r="13" ht="12.75" customHeight="1">
      <c r="A13" s="9"/>
      <c r="B13" s="40" t="s">
        <v>121</v>
      </c>
      <c r="C13" s="11"/>
      <c r="D13" s="11"/>
      <c r="E13" s="12"/>
      <c r="F13" s="41"/>
      <c r="G13" s="42"/>
      <c r="H13" s="42"/>
      <c r="I13" s="42"/>
      <c r="J13" s="43"/>
      <c r="K13" s="37"/>
      <c r="L13" s="38"/>
      <c r="M13" s="38"/>
      <c r="N13" s="38"/>
      <c r="O13" s="38"/>
      <c r="P13" s="38"/>
    </row>
    <row r="14" ht="12.75" customHeight="1">
      <c r="A14" s="9"/>
      <c r="B14" s="40" t="s">
        <v>122</v>
      </c>
      <c r="C14" s="11"/>
      <c r="D14" s="11"/>
      <c r="E14" s="12"/>
      <c r="F14" s="44"/>
      <c r="G14" s="45"/>
      <c r="H14" s="45"/>
      <c r="I14" s="45"/>
      <c r="J14" s="46"/>
      <c r="K14" s="37"/>
      <c r="L14" s="38"/>
      <c r="M14" s="38"/>
      <c r="N14" s="38"/>
      <c r="O14" s="38"/>
      <c r="P14" s="38"/>
    </row>
    <row r="15" ht="15.0" customHeight="1">
      <c r="A15" s="9"/>
      <c r="B15" s="40" t="s">
        <v>123</v>
      </c>
      <c r="C15" s="11"/>
      <c r="D15" s="11"/>
      <c r="E15" s="12"/>
      <c r="F15" s="44"/>
      <c r="G15" s="45"/>
      <c r="H15" s="45"/>
      <c r="I15" s="45"/>
      <c r="J15" s="46"/>
      <c r="K15" s="37"/>
      <c r="L15" s="38"/>
      <c r="M15" s="38"/>
      <c r="N15" s="38"/>
      <c r="O15" s="38"/>
      <c r="P15" s="38"/>
    </row>
    <row r="16" ht="12.75" customHeight="1">
      <c r="A16" s="9"/>
      <c r="B16" s="40" t="s">
        <v>124</v>
      </c>
      <c r="C16" s="11"/>
      <c r="D16" s="11"/>
      <c r="E16" s="12"/>
      <c r="F16" s="44"/>
      <c r="G16" s="45"/>
      <c r="H16" s="45"/>
      <c r="I16" s="45"/>
      <c r="J16" s="46"/>
      <c r="K16" s="37"/>
      <c r="L16" s="38"/>
      <c r="M16" s="38"/>
      <c r="N16" s="38"/>
      <c r="O16" s="38"/>
      <c r="P16" s="38"/>
    </row>
    <row r="17" ht="15.75" customHeight="1">
      <c r="A17" s="4"/>
      <c r="B17" s="32"/>
      <c r="C17" s="33"/>
      <c r="D17" s="34"/>
      <c r="E17" s="35"/>
      <c r="F17" s="47"/>
      <c r="G17" s="47"/>
      <c r="H17" s="47"/>
      <c r="I17" s="47"/>
      <c r="J17" s="47"/>
      <c r="K17" s="37"/>
      <c r="L17" s="38"/>
      <c r="M17" s="38"/>
      <c r="N17" s="38"/>
      <c r="O17" s="38"/>
      <c r="P17" s="38"/>
    </row>
    <row r="18" ht="15.75" customHeight="1">
      <c r="A18" s="4"/>
      <c r="B18" s="32"/>
      <c r="C18" s="33"/>
      <c r="D18" s="34"/>
      <c r="E18" s="35"/>
      <c r="F18" s="47"/>
      <c r="G18" s="47"/>
      <c r="H18" s="47"/>
      <c r="I18" s="47"/>
      <c r="J18" s="47"/>
      <c r="K18" s="37"/>
      <c r="L18" s="38"/>
      <c r="M18" s="38"/>
      <c r="N18" s="38"/>
      <c r="O18" s="38"/>
      <c r="P18" s="38"/>
    </row>
    <row r="19" ht="15.75" customHeight="1">
      <c r="A19" s="4"/>
      <c r="B19" s="32"/>
      <c r="C19" s="33"/>
      <c r="D19" s="34"/>
      <c r="E19" s="35"/>
      <c r="F19" s="47"/>
      <c r="G19" s="47"/>
      <c r="H19" s="47"/>
      <c r="I19" s="47"/>
      <c r="J19" s="47"/>
      <c r="K19" s="37"/>
      <c r="L19" s="38"/>
      <c r="M19" s="38"/>
      <c r="N19" s="38"/>
      <c r="O19" s="38"/>
      <c r="P19" s="38"/>
    </row>
    <row r="20" ht="15.75" customHeight="1">
      <c r="A20" s="4"/>
      <c r="B20" s="32"/>
      <c r="C20" s="33"/>
      <c r="D20" s="34"/>
      <c r="E20" s="35"/>
      <c r="F20" s="47"/>
      <c r="G20" s="47"/>
      <c r="H20" s="47"/>
      <c r="I20" s="47"/>
      <c r="J20" s="47"/>
      <c r="K20" s="37"/>
      <c r="L20" s="38"/>
      <c r="M20" s="38"/>
      <c r="N20" s="38"/>
      <c r="O20" s="38"/>
      <c r="P20" s="38"/>
    </row>
    <row r="21" ht="15.75" customHeight="1">
      <c r="A21" s="4"/>
      <c r="B21" s="32"/>
      <c r="C21" s="33"/>
      <c r="D21" s="34"/>
      <c r="E21" s="35"/>
      <c r="F21" s="47"/>
      <c r="G21" s="47"/>
      <c r="H21" s="47"/>
      <c r="I21" s="47"/>
      <c r="J21" s="47"/>
      <c r="K21" s="37"/>
      <c r="L21" s="38"/>
      <c r="M21" s="38"/>
      <c r="N21" s="38"/>
      <c r="O21" s="38"/>
      <c r="P21" s="38"/>
    </row>
    <row r="22" ht="15.75" customHeight="1">
      <c r="A22" s="4"/>
      <c r="B22" s="32"/>
      <c r="C22" s="33"/>
      <c r="D22" s="34"/>
      <c r="E22" s="35"/>
      <c r="F22" s="47"/>
      <c r="G22" s="47"/>
      <c r="H22" s="47"/>
      <c r="I22" s="47"/>
      <c r="J22" s="47"/>
      <c r="K22" s="37"/>
      <c r="L22" s="38"/>
      <c r="M22" s="38"/>
      <c r="N22" s="38"/>
      <c r="O22" s="38"/>
      <c r="P22" s="38"/>
    </row>
    <row r="23" ht="15.75" customHeight="1">
      <c r="A23" s="4"/>
      <c r="B23" s="32"/>
      <c r="C23" s="33"/>
      <c r="D23" s="34"/>
      <c r="E23" s="35"/>
      <c r="F23" s="47"/>
      <c r="G23" s="47"/>
      <c r="H23" s="47"/>
      <c r="I23" s="47"/>
      <c r="J23" s="47"/>
      <c r="K23" s="37"/>
      <c r="L23" s="38"/>
      <c r="M23" s="38"/>
      <c r="N23" s="38"/>
      <c r="O23" s="38"/>
      <c r="P23" s="38"/>
    </row>
    <row r="24" ht="15.75" customHeight="1">
      <c r="A24" s="4"/>
      <c r="B24" s="32"/>
      <c r="C24" s="33"/>
      <c r="D24" s="34"/>
      <c r="E24" s="35"/>
      <c r="F24" s="47"/>
      <c r="G24" s="47"/>
      <c r="H24" s="47"/>
      <c r="I24" s="47"/>
      <c r="J24" s="47"/>
      <c r="K24" s="37"/>
      <c r="L24" s="38"/>
      <c r="M24" s="38"/>
      <c r="N24" s="38"/>
      <c r="O24" s="38"/>
      <c r="P24" s="38"/>
    </row>
    <row r="25" ht="15.75" customHeight="1">
      <c r="A25" s="4"/>
      <c r="B25" s="32"/>
      <c r="C25" s="33"/>
      <c r="D25" s="34"/>
      <c r="E25" s="35"/>
      <c r="F25" s="47"/>
      <c r="G25" s="47"/>
      <c r="H25" s="47"/>
      <c r="I25" s="47"/>
      <c r="J25" s="47"/>
      <c r="K25" s="37"/>
      <c r="L25" s="38"/>
      <c r="M25" s="38"/>
      <c r="N25" s="38"/>
      <c r="O25" s="38"/>
      <c r="P25" s="38"/>
    </row>
    <row r="26" ht="15.75" customHeight="1">
      <c r="A26" s="4"/>
      <c r="B26" s="32"/>
      <c r="C26" s="33"/>
      <c r="D26" s="34"/>
      <c r="E26" s="35"/>
      <c r="F26" s="47"/>
      <c r="G26" s="47"/>
      <c r="H26" s="47"/>
      <c r="I26" s="47"/>
      <c r="J26" s="47"/>
      <c r="K26" s="37"/>
      <c r="L26" s="38"/>
      <c r="M26" s="38"/>
      <c r="N26" s="38"/>
      <c r="O26" s="38"/>
      <c r="P26" s="38"/>
    </row>
    <row r="27" ht="15.75" customHeight="1">
      <c r="A27" s="4"/>
      <c r="B27" s="32"/>
      <c r="C27" s="33"/>
      <c r="D27" s="34"/>
      <c r="E27" s="35"/>
      <c r="F27" s="47"/>
      <c r="G27" s="47"/>
      <c r="H27" s="47"/>
      <c r="I27" s="47"/>
      <c r="J27" s="47"/>
      <c r="K27" s="37"/>
      <c r="L27" s="38"/>
      <c r="M27" s="38"/>
      <c r="N27" s="38"/>
      <c r="O27" s="38"/>
      <c r="P27" s="38"/>
    </row>
    <row r="28" ht="15.75" customHeight="1">
      <c r="A28" s="4"/>
      <c r="B28" s="32"/>
      <c r="C28" s="33"/>
      <c r="D28" s="34"/>
      <c r="E28" s="35"/>
      <c r="F28" s="47"/>
      <c r="G28" s="47"/>
      <c r="H28" s="47"/>
      <c r="I28" s="47"/>
      <c r="J28" s="47"/>
      <c r="K28" s="37"/>
      <c r="L28" s="38"/>
      <c r="M28" s="38"/>
      <c r="N28" s="38"/>
      <c r="O28" s="38"/>
      <c r="P28" s="38"/>
    </row>
    <row r="29" ht="15.75" customHeight="1">
      <c r="A29" s="4"/>
      <c r="B29" s="32"/>
      <c r="C29" s="33"/>
      <c r="D29" s="34"/>
      <c r="E29" s="35"/>
      <c r="F29" s="47"/>
      <c r="G29" s="47"/>
      <c r="H29" s="47"/>
      <c r="I29" s="47"/>
      <c r="J29" s="47"/>
      <c r="K29" s="37"/>
      <c r="L29" s="38"/>
      <c r="M29" s="38"/>
      <c r="N29" s="38"/>
      <c r="O29" s="38"/>
      <c r="P29" s="38"/>
    </row>
    <row r="30" ht="15.75" customHeight="1">
      <c r="A30" s="4"/>
      <c r="B30" s="32"/>
      <c r="C30" s="33"/>
      <c r="D30" s="34"/>
      <c r="E30" s="35"/>
      <c r="F30" s="47"/>
      <c r="G30" s="47"/>
      <c r="H30" s="47"/>
      <c r="I30" s="47"/>
      <c r="J30" s="47"/>
      <c r="K30" s="37"/>
      <c r="L30" s="38"/>
      <c r="M30" s="38"/>
      <c r="N30" s="38"/>
      <c r="O30" s="38"/>
      <c r="P30" s="38"/>
    </row>
    <row r="31" ht="15.75" customHeight="1">
      <c r="A31" s="4"/>
      <c r="B31" s="32"/>
      <c r="C31" s="33"/>
      <c r="D31" s="34"/>
      <c r="E31" s="35"/>
      <c r="F31" s="47"/>
      <c r="G31" s="47"/>
      <c r="H31" s="47"/>
      <c r="I31" s="47"/>
      <c r="J31" s="47"/>
      <c r="K31" s="37"/>
      <c r="L31" s="38"/>
      <c r="M31" s="38"/>
      <c r="N31" s="38"/>
      <c r="O31" s="38"/>
      <c r="P31" s="38"/>
    </row>
    <row r="32" ht="15.75" customHeight="1">
      <c r="A32" s="4"/>
      <c r="B32" s="32"/>
      <c r="C32" s="33"/>
      <c r="D32" s="34"/>
      <c r="E32" s="35"/>
      <c r="F32" s="47"/>
      <c r="G32" s="47"/>
      <c r="H32" s="47"/>
      <c r="I32" s="47"/>
      <c r="J32" s="47"/>
      <c r="K32" s="37"/>
      <c r="L32" s="38"/>
      <c r="M32" s="38"/>
      <c r="N32" s="38"/>
      <c r="O32" s="38"/>
      <c r="P32" s="38"/>
    </row>
    <row r="33" ht="15.75" customHeight="1">
      <c r="A33" s="4"/>
      <c r="B33" s="32"/>
      <c r="C33" s="33"/>
      <c r="D33" s="34"/>
      <c r="E33" s="35"/>
      <c r="F33" s="47"/>
      <c r="G33" s="47"/>
      <c r="H33" s="47"/>
      <c r="I33" s="47"/>
      <c r="J33" s="47"/>
      <c r="K33" s="37"/>
      <c r="L33" s="38"/>
      <c r="M33" s="38"/>
      <c r="N33" s="38"/>
      <c r="O33" s="38"/>
      <c r="P33" s="38"/>
    </row>
    <row r="34" ht="15.75" customHeight="1">
      <c r="A34" s="4"/>
      <c r="B34" s="32"/>
      <c r="C34" s="33"/>
      <c r="D34" s="34"/>
      <c r="E34" s="35"/>
      <c r="F34" s="47"/>
      <c r="G34" s="47"/>
      <c r="H34" s="47"/>
      <c r="I34" s="47"/>
      <c r="J34" s="47"/>
      <c r="K34" s="37"/>
      <c r="L34" s="38"/>
      <c r="M34" s="38"/>
      <c r="N34" s="38"/>
      <c r="O34" s="38"/>
      <c r="P34" s="38"/>
    </row>
    <row r="35" ht="15.75" customHeight="1">
      <c r="A35" s="4"/>
      <c r="B35" s="32"/>
      <c r="C35" s="33"/>
      <c r="D35" s="34"/>
      <c r="E35" s="35"/>
      <c r="F35" s="47"/>
      <c r="G35" s="47"/>
      <c r="H35" s="47"/>
      <c r="I35" s="47"/>
      <c r="J35" s="47"/>
      <c r="K35" s="37"/>
      <c r="L35" s="38"/>
      <c r="M35" s="38"/>
      <c r="N35" s="38"/>
      <c r="O35" s="38"/>
      <c r="P35" s="38"/>
    </row>
    <row r="36" ht="15.75" customHeight="1">
      <c r="A36" s="4"/>
      <c r="B36" s="32"/>
      <c r="C36" s="33"/>
      <c r="D36" s="34"/>
      <c r="E36" s="35"/>
      <c r="F36" s="47"/>
      <c r="G36" s="47"/>
      <c r="H36" s="47"/>
      <c r="I36" s="47"/>
      <c r="J36" s="47"/>
      <c r="K36" s="37"/>
      <c r="L36" s="38"/>
      <c r="M36" s="38"/>
      <c r="N36" s="38"/>
      <c r="O36" s="38"/>
      <c r="P36" s="38"/>
    </row>
    <row r="37" ht="15.75" customHeight="1">
      <c r="A37" s="4"/>
      <c r="B37" s="32"/>
      <c r="C37" s="33"/>
      <c r="D37" s="34"/>
      <c r="E37" s="35"/>
      <c r="F37" s="47"/>
      <c r="G37" s="47"/>
      <c r="H37" s="47"/>
      <c r="I37" s="47"/>
      <c r="J37" s="47"/>
      <c r="K37" s="37"/>
      <c r="L37" s="38"/>
      <c r="M37" s="38"/>
      <c r="N37" s="38"/>
      <c r="O37" s="38"/>
      <c r="P37" s="38"/>
    </row>
    <row r="38" ht="15.75" customHeight="1">
      <c r="A38" s="4"/>
      <c r="B38" s="32"/>
      <c r="C38" s="33"/>
      <c r="D38" s="34"/>
      <c r="E38" s="35"/>
      <c r="F38" s="47"/>
      <c r="G38" s="47"/>
      <c r="H38" s="47"/>
      <c r="I38" s="47"/>
      <c r="J38" s="47"/>
      <c r="K38" s="37"/>
      <c r="L38" s="38"/>
      <c r="M38" s="38"/>
      <c r="N38" s="38"/>
      <c r="O38" s="38"/>
      <c r="P38" s="38"/>
    </row>
    <row r="39" ht="15.75" customHeight="1">
      <c r="A39" s="4"/>
      <c r="B39" s="32"/>
      <c r="C39" s="33"/>
      <c r="D39" s="34"/>
      <c r="E39" s="35"/>
      <c r="F39" s="47"/>
      <c r="G39" s="47"/>
      <c r="H39" s="47"/>
      <c r="I39" s="47"/>
      <c r="J39" s="47"/>
      <c r="K39" s="37"/>
      <c r="L39" s="38"/>
      <c r="M39" s="38"/>
      <c r="N39" s="38"/>
      <c r="O39" s="38"/>
      <c r="P39" s="38"/>
    </row>
    <row r="40" ht="15.75" customHeight="1">
      <c r="A40" s="4"/>
      <c r="B40" s="32"/>
      <c r="C40" s="33"/>
      <c r="D40" s="34"/>
      <c r="E40" s="35"/>
      <c r="F40" s="47"/>
      <c r="G40" s="47"/>
      <c r="H40" s="47"/>
      <c r="I40" s="47"/>
      <c r="J40" s="47"/>
      <c r="K40" s="37"/>
      <c r="L40" s="38"/>
      <c r="M40" s="38"/>
      <c r="N40" s="38"/>
      <c r="O40" s="38"/>
      <c r="P40" s="38"/>
    </row>
    <row r="41" ht="15.75" customHeight="1">
      <c r="A41" s="4"/>
      <c r="B41" s="32"/>
      <c r="C41" s="33"/>
      <c r="D41" s="34"/>
      <c r="E41" s="35"/>
      <c r="F41" s="47"/>
      <c r="G41" s="47"/>
      <c r="H41" s="47"/>
      <c r="I41" s="47"/>
      <c r="J41" s="47"/>
      <c r="K41" s="37"/>
      <c r="L41" s="38"/>
      <c r="M41" s="38"/>
      <c r="N41" s="38"/>
      <c r="O41" s="38"/>
      <c r="P41" s="38"/>
    </row>
    <row r="42" ht="15.75" customHeight="1">
      <c r="A42" s="4"/>
      <c r="B42" s="32"/>
      <c r="C42" s="33"/>
      <c r="D42" s="34"/>
      <c r="E42" s="35"/>
      <c r="F42" s="47"/>
      <c r="G42" s="47"/>
      <c r="H42" s="47"/>
      <c r="I42" s="47"/>
      <c r="J42" s="47"/>
      <c r="K42" s="37"/>
      <c r="L42" s="38"/>
      <c r="M42" s="38"/>
      <c r="N42" s="38"/>
      <c r="O42" s="38"/>
      <c r="P42" s="38"/>
    </row>
    <row r="43" ht="15.75" customHeight="1">
      <c r="A43" s="4"/>
      <c r="B43" s="32"/>
      <c r="C43" s="33"/>
      <c r="D43" s="34"/>
      <c r="E43" s="35"/>
      <c r="F43" s="47"/>
      <c r="G43" s="47"/>
      <c r="H43" s="47"/>
      <c r="I43" s="47"/>
      <c r="J43" s="47"/>
      <c r="K43" s="37"/>
      <c r="L43" s="38"/>
      <c r="M43" s="38"/>
      <c r="N43" s="38"/>
      <c r="O43" s="38"/>
      <c r="P43" s="38"/>
    </row>
    <row r="44" ht="15.75" customHeight="1">
      <c r="A44" s="4"/>
      <c r="B44" s="32"/>
      <c r="C44" s="33"/>
      <c r="D44" s="34"/>
      <c r="E44" s="35"/>
      <c r="F44" s="47"/>
      <c r="G44" s="47"/>
      <c r="H44" s="47"/>
      <c r="I44" s="47"/>
      <c r="J44" s="47"/>
      <c r="K44" s="37"/>
      <c r="L44" s="38"/>
      <c r="M44" s="38"/>
      <c r="N44" s="38"/>
      <c r="O44" s="38"/>
      <c r="P44" s="38"/>
    </row>
    <row r="45" ht="15.75" customHeight="1">
      <c r="A45" s="4"/>
      <c r="B45" s="32"/>
      <c r="C45" s="33"/>
      <c r="D45" s="34"/>
      <c r="E45" s="35"/>
      <c r="F45" s="47"/>
      <c r="G45" s="47"/>
      <c r="H45" s="47"/>
      <c r="I45" s="47"/>
      <c r="J45" s="47"/>
      <c r="K45" s="37"/>
      <c r="L45" s="38"/>
      <c r="M45" s="38"/>
      <c r="N45" s="38"/>
      <c r="O45" s="38"/>
      <c r="P45" s="38"/>
    </row>
    <row r="46" ht="15.75" customHeight="1">
      <c r="A46" s="4"/>
      <c r="B46" s="32"/>
      <c r="C46" s="33"/>
      <c r="D46" s="34"/>
      <c r="E46" s="35"/>
      <c r="F46" s="47"/>
      <c r="G46" s="47"/>
      <c r="H46" s="47"/>
      <c r="I46" s="47"/>
      <c r="J46" s="47"/>
      <c r="K46" s="37"/>
      <c r="L46" s="38"/>
      <c r="M46" s="38"/>
      <c r="N46" s="38"/>
      <c r="O46" s="38"/>
      <c r="P46" s="38"/>
    </row>
    <row r="47" ht="15.75" customHeight="1">
      <c r="A47" s="4"/>
      <c r="B47" s="32"/>
      <c r="C47" s="33"/>
      <c r="D47" s="34"/>
      <c r="E47" s="35"/>
      <c r="F47" s="47"/>
      <c r="G47" s="47"/>
      <c r="H47" s="47"/>
      <c r="I47" s="47"/>
      <c r="J47" s="47"/>
      <c r="K47" s="37"/>
      <c r="L47" s="38"/>
      <c r="M47" s="38"/>
      <c r="N47" s="38"/>
      <c r="O47" s="38"/>
      <c r="P47" s="38"/>
    </row>
    <row r="48" ht="15.75" customHeight="1">
      <c r="A48" s="4"/>
      <c r="B48" s="32"/>
      <c r="C48" s="33"/>
      <c r="D48" s="34"/>
      <c r="E48" s="35"/>
      <c r="F48" s="47"/>
      <c r="G48" s="47"/>
      <c r="H48" s="47"/>
      <c r="I48" s="47"/>
      <c r="J48" s="47"/>
      <c r="K48" s="37"/>
      <c r="L48" s="38"/>
      <c r="M48" s="38"/>
      <c r="N48" s="38"/>
      <c r="O48" s="38"/>
      <c r="P48" s="38"/>
    </row>
    <row r="49" ht="15.75" customHeight="1">
      <c r="A49" s="4"/>
      <c r="B49" s="32"/>
      <c r="C49" s="33"/>
      <c r="D49" s="34"/>
      <c r="E49" s="35"/>
      <c r="F49" s="47"/>
      <c r="G49" s="47"/>
      <c r="H49" s="47"/>
      <c r="I49" s="47"/>
      <c r="J49" s="47"/>
      <c r="K49" s="37"/>
      <c r="L49" s="38"/>
      <c r="M49" s="38"/>
      <c r="N49" s="38"/>
      <c r="O49" s="38"/>
      <c r="P49" s="38"/>
    </row>
    <row r="50" ht="15.75" customHeight="1">
      <c r="A50" s="4"/>
      <c r="B50" s="32"/>
      <c r="C50" s="33"/>
      <c r="D50" s="34"/>
      <c r="E50" s="35"/>
      <c r="F50" s="47"/>
      <c r="G50" s="47"/>
      <c r="H50" s="47"/>
      <c r="I50" s="47"/>
      <c r="J50" s="47"/>
      <c r="K50" s="37"/>
      <c r="L50" s="38"/>
      <c r="M50" s="38"/>
      <c r="N50" s="38"/>
      <c r="O50" s="38"/>
      <c r="P50" s="38"/>
    </row>
    <row r="51" ht="15.75" customHeight="1">
      <c r="A51" s="4"/>
      <c r="B51" s="32"/>
      <c r="C51" s="33"/>
      <c r="D51" s="34"/>
      <c r="E51" s="35"/>
      <c r="F51" s="47"/>
      <c r="G51" s="47"/>
      <c r="H51" s="47"/>
      <c r="I51" s="47"/>
      <c r="J51" s="47"/>
      <c r="K51" s="37"/>
      <c r="L51" s="38"/>
      <c r="M51" s="38"/>
      <c r="N51" s="38"/>
      <c r="O51" s="38"/>
      <c r="P51" s="38"/>
    </row>
    <row r="52" ht="15.75" customHeight="1">
      <c r="A52" s="4"/>
      <c r="B52" s="32"/>
      <c r="C52" s="33"/>
      <c r="D52" s="34"/>
      <c r="E52" s="35"/>
      <c r="F52" s="47"/>
      <c r="G52" s="47"/>
      <c r="H52" s="47"/>
      <c r="I52" s="47"/>
      <c r="J52" s="47"/>
      <c r="K52" s="37"/>
      <c r="L52" s="38"/>
      <c r="M52" s="38"/>
      <c r="N52" s="38"/>
      <c r="O52" s="38"/>
      <c r="P52" s="38"/>
    </row>
    <row r="53" ht="15.75" customHeight="1">
      <c r="A53" s="4"/>
      <c r="B53" s="32"/>
      <c r="C53" s="33"/>
      <c r="D53" s="34"/>
      <c r="E53" s="35"/>
      <c r="F53" s="47"/>
      <c r="G53" s="47"/>
      <c r="H53" s="47"/>
      <c r="I53" s="47"/>
      <c r="J53" s="47"/>
      <c r="K53" s="37"/>
      <c r="L53" s="38"/>
      <c r="M53" s="38"/>
      <c r="N53" s="38"/>
      <c r="O53" s="38"/>
      <c r="P53" s="38"/>
    </row>
    <row r="54" ht="15.75" customHeight="1">
      <c r="A54" s="4"/>
      <c r="B54" s="32"/>
      <c r="C54" s="33"/>
      <c r="D54" s="34"/>
      <c r="E54" s="35"/>
      <c r="F54" s="47"/>
      <c r="G54" s="47"/>
      <c r="H54" s="47"/>
      <c r="I54" s="47"/>
      <c r="J54" s="47"/>
      <c r="K54" s="37"/>
      <c r="L54" s="38"/>
      <c r="M54" s="38"/>
      <c r="N54" s="38"/>
      <c r="O54" s="38"/>
      <c r="P54" s="38"/>
    </row>
    <row r="55" ht="15.75" customHeight="1">
      <c r="A55" s="4"/>
      <c r="B55" s="32"/>
      <c r="C55" s="33"/>
      <c r="D55" s="34"/>
      <c r="E55" s="35"/>
      <c r="F55" s="47"/>
      <c r="G55" s="47"/>
      <c r="H55" s="47"/>
      <c r="I55" s="47"/>
      <c r="J55" s="47"/>
      <c r="K55" s="37"/>
      <c r="L55" s="38"/>
      <c r="M55" s="38"/>
      <c r="N55" s="38"/>
      <c r="O55" s="38"/>
      <c r="P55" s="38"/>
    </row>
    <row r="56" ht="15.75" customHeight="1">
      <c r="A56" s="4"/>
      <c r="B56" s="32"/>
      <c r="C56" s="33"/>
      <c r="D56" s="34"/>
      <c r="E56" s="35"/>
      <c r="F56" s="47"/>
      <c r="G56" s="47"/>
      <c r="H56" s="47"/>
      <c r="I56" s="47"/>
      <c r="J56" s="47"/>
      <c r="K56" s="37"/>
      <c r="L56" s="38"/>
      <c r="M56" s="38"/>
      <c r="N56" s="38"/>
      <c r="O56" s="38"/>
      <c r="P56" s="38"/>
    </row>
    <row r="57" ht="15.75" customHeight="1">
      <c r="A57" s="4"/>
      <c r="B57" s="32"/>
      <c r="C57" s="33"/>
      <c r="D57" s="34"/>
      <c r="E57" s="35"/>
      <c r="F57" s="47"/>
      <c r="G57" s="47"/>
      <c r="H57" s="47"/>
      <c r="I57" s="47"/>
      <c r="J57" s="47"/>
      <c r="K57" s="37"/>
      <c r="L57" s="38"/>
      <c r="M57" s="38"/>
      <c r="N57" s="38"/>
      <c r="O57" s="38"/>
      <c r="P57" s="38"/>
    </row>
    <row r="58" ht="15.75" customHeight="1">
      <c r="A58" s="4"/>
      <c r="B58" s="32"/>
      <c r="C58" s="33"/>
      <c r="D58" s="34"/>
      <c r="E58" s="35"/>
      <c r="F58" s="47"/>
      <c r="G58" s="47"/>
      <c r="H58" s="47"/>
      <c r="I58" s="47"/>
      <c r="J58" s="47"/>
      <c r="K58" s="37"/>
      <c r="L58" s="38"/>
      <c r="M58" s="38"/>
      <c r="N58" s="38"/>
      <c r="O58" s="38"/>
      <c r="P58" s="38"/>
    </row>
    <row r="59" ht="15.75" customHeight="1">
      <c r="A59" s="4"/>
      <c r="B59" s="32"/>
      <c r="C59" s="33"/>
      <c r="D59" s="34"/>
      <c r="E59" s="35"/>
      <c r="F59" s="47"/>
      <c r="G59" s="47"/>
      <c r="H59" s="47"/>
      <c r="I59" s="47"/>
      <c r="J59" s="47"/>
      <c r="K59" s="37"/>
      <c r="L59" s="38"/>
      <c r="M59" s="38"/>
      <c r="N59" s="38"/>
      <c r="O59" s="38"/>
      <c r="P59" s="38"/>
    </row>
    <row r="60" ht="15.75" customHeight="1">
      <c r="A60" s="4"/>
      <c r="B60" s="32"/>
      <c r="C60" s="33"/>
      <c r="D60" s="34"/>
      <c r="E60" s="35"/>
      <c r="F60" s="47"/>
      <c r="G60" s="47"/>
      <c r="H60" s="47"/>
      <c r="I60" s="47"/>
      <c r="J60" s="47"/>
      <c r="K60" s="37"/>
      <c r="L60" s="38"/>
      <c r="M60" s="38"/>
      <c r="N60" s="38"/>
      <c r="O60" s="38"/>
      <c r="P60" s="38"/>
    </row>
    <row r="61" ht="15.75" customHeight="1">
      <c r="A61" s="4"/>
      <c r="B61" s="32"/>
      <c r="C61" s="33"/>
      <c r="D61" s="34"/>
      <c r="E61" s="35"/>
      <c r="F61" s="47"/>
      <c r="G61" s="47"/>
      <c r="H61" s="47"/>
      <c r="I61" s="47"/>
      <c r="J61" s="47"/>
      <c r="K61" s="37"/>
      <c r="L61" s="38"/>
      <c r="M61" s="38"/>
      <c r="N61" s="38"/>
      <c r="O61" s="38"/>
      <c r="P61" s="38"/>
    </row>
    <row r="62" ht="15.75" customHeight="1">
      <c r="A62" s="4"/>
      <c r="B62" s="32"/>
      <c r="C62" s="33"/>
      <c r="D62" s="34"/>
      <c r="E62" s="35"/>
      <c r="F62" s="47"/>
      <c r="G62" s="47"/>
      <c r="H62" s="47"/>
      <c r="I62" s="47"/>
      <c r="J62" s="47"/>
      <c r="K62" s="37"/>
      <c r="L62" s="38"/>
      <c r="M62" s="38"/>
      <c r="N62" s="38"/>
      <c r="O62" s="38"/>
      <c r="P62" s="38"/>
    </row>
    <row r="63" ht="15.75" customHeight="1">
      <c r="A63" s="4"/>
      <c r="B63" s="32"/>
      <c r="C63" s="33"/>
      <c r="D63" s="34"/>
      <c r="E63" s="35"/>
      <c r="F63" s="47"/>
      <c r="G63" s="47"/>
      <c r="H63" s="47"/>
      <c r="I63" s="47"/>
      <c r="J63" s="47"/>
      <c r="K63" s="37"/>
      <c r="L63" s="38"/>
      <c r="M63" s="38"/>
      <c r="N63" s="38"/>
      <c r="O63" s="38"/>
      <c r="P63" s="38"/>
    </row>
    <row r="64" ht="15.75" customHeight="1">
      <c r="A64" s="4"/>
      <c r="B64" s="32"/>
      <c r="C64" s="33"/>
      <c r="D64" s="34"/>
      <c r="E64" s="35"/>
      <c r="F64" s="47"/>
      <c r="G64" s="47"/>
      <c r="H64" s="47"/>
      <c r="I64" s="47"/>
      <c r="J64" s="47"/>
      <c r="K64" s="37"/>
      <c r="L64" s="38"/>
      <c r="M64" s="38"/>
      <c r="N64" s="38"/>
      <c r="O64" s="38"/>
      <c r="P64" s="38"/>
    </row>
    <row r="65" ht="15.75" customHeight="1">
      <c r="A65" s="4"/>
      <c r="B65" s="32"/>
      <c r="C65" s="33"/>
      <c r="D65" s="34"/>
      <c r="E65" s="35"/>
      <c r="F65" s="47"/>
      <c r="G65" s="47"/>
      <c r="H65" s="47"/>
      <c r="I65" s="47"/>
      <c r="J65" s="47"/>
      <c r="K65" s="37"/>
      <c r="L65" s="38"/>
      <c r="M65" s="38"/>
      <c r="N65" s="38"/>
      <c r="O65" s="38"/>
      <c r="P65" s="38"/>
    </row>
    <row r="66" ht="15.75" customHeight="1">
      <c r="A66" s="4"/>
      <c r="B66" s="32"/>
      <c r="C66" s="33"/>
      <c r="D66" s="34"/>
      <c r="E66" s="35"/>
      <c r="F66" s="47"/>
      <c r="G66" s="47"/>
      <c r="H66" s="47"/>
      <c r="I66" s="47"/>
      <c r="J66" s="47"/>
      <c r="K66" s="37"/>
      <c r="L66" s="38"/>
      <c r="M66" s="38"/>
      <c r="N66" s="38"/>
      <c r="O66" s="38"/>
      <c r="P66" s="38"/>
    </row>
    <row r="67" ht="15.75" customHeight="1">
      <c r="A67" s="4"/>
      <c r="B67" s="32"/>
      <c r="C67" s="33"/>
      <c r="D67" s="34"/>
      <c r="E67" s="35"/>
      <c r="F67" s="47"/>
      <c r="G67" s="47"/>
      <c r="H67" s="47"/>
      <c r="I67" s="47"/>
      <c r="J67" s="47"/>
      <c r="K67" s="37"/>
      <c r="L67" s="38"/>
      <c r="M67" s="38"/>
      <c r="N67" s="38"/>
      <c r="O67" s="38"/>
      <c r="P67" s="38"/>
    </row>
    <row r="68" ht="15.75" customHeight="1">
      <c r="A68" s="4"/>
      <c r="B68" s="32"/>
      <c r="C68" s="33"/>
      <c r="D68" s="34"/>
      <c r="E68" s="35"/>
      <c r="F68" s="47"/>
      <c r="G68" s="47"/>
      <c r="H68" s="47"/>
      <c r="I68" s="47"/>
      <c r="J68" s="47"/>
      <c r="K68" s="37"/>
      <c r="L68" s="38"/>
      <c r="M68" s="38"/>
      <c r="N68" s="38"/>
      <c r="O68" s="38"/>
      <c r="P68" s="38"/>
    </row>
    <row r="69" ht="15.75" customHeight="1">
      <c r="A69" s="4"/>
      <c r="B69" s="32"/>
      <c r="C69" s="33"/>
      <c r="D69" s="34"/>
      <c r="E69" s="35"/>
      <c r="F69" s="47"/>
      <c r="G69" s="47"/>
      <c r="H69" s="47"/>
      <c r="I69" s="47"/>
      <c r="J69" s="47"/>
      <c r="K69" s="37"/>
      <c r="L69" s="38"/>
      <c r="M69" s="38"/>
      <c r="N69" s="38"/>
      <c r="O69" s="38"/>
      <c r="P69" s="38"/>
    </row>
    <row r="70" ht="15.75" customHeight="1">
      <c r="A70" s="4"/>
      <c r="B70" s="32"/>
      <c r="C70" s="33"/>
      <c r="D70" s="34"/>
      <c r="E70" s="35"/>
      <c r="F70" s="47"/>
      <c r="G70" s="47"/>
      <c r="H70" s="47"/>
      <c r="I70" s="47"/>
      <c r="J70" s="47"/>
      <c r="K70" s="37"/>
      <c r="L70" s="38"/>
      <c r="M70" s="38"/>
      <c r="N70" s="38"/>
      <c r="O70" s="38"/>
      <c r="P70" s="38"/>
    </row>
    <row r="71" ht="15.75" customHeight="1">
      <c r="A71" s="4"/>
      <c r="B71" s="32"/>
      <c r="C71" s="33"/>
      <c r="D71" s="34"/>
      <c r="E71" s="35"/>
      <c r="F71" s="47"/>
      <c r="G71" s="47"/>
      <c r="H71" s="47"/>
      <c r="I71" s="47"/>
      <c r="J71" s="47"/>
      <c r="K71" s="37"/>
      <c r="L71" s="38"/>
      <c r="M71" s="38"/>
      <c r="N71" s="38"/>
      <c r="O71" s="38"/>
      <c r="P71" s="38"/>
    </row>
    <row r="72" ht="15.75" customHeight="1">
      <c r="A72" s="4"/>
      <c r="B72" s="32"/>
      <c r="C72" s="33"/>
      <c r="D72" s="34"/>
      <c r="E72" s="35"/>
      <c r="F72" s="47"/>
      <c r="G72" s="47"/>
      <c r="H72" s="47"/>
      <c r="I72" s="47"/>
      <c r="J72" s="47"/>
      <c r="K72" s="37"/>
      <c r="L72" s="38"/>
      <c r="M72" s="38"/>
      <c r="N72" s="38"/>
      <c r="O72" s="38"/>
      <c r="P72" s="38"/>
    </row>
    <row r="73" ht="15.75" customHeight="1">
      <c r="A73" s="4"/>
      <c r="B73" s="32"/>
      <c r="C73" s="33"/>
      <c r="D73" s="34"/>
      <c r="E73" s="35"/>
      <c r="F73" s="47"/>
      <c r="G73" s="47"/>
      <c r="H73" s="47"/>
      <c r="I73" s="47"/>
      <c r="J73" s="47"/>
      <c r="K73" s="37"/>
      <c r="L73" s="38"/>
      <c r="M73" s="38"/>
      <c r="N73" s="38"/>
      <c r="O73" s="38"/>
      <c r="P73" s="38"/>
    </row>
    <row r="74" ht="15.75" customHeight="1">
      <c r="A74" s="4"/>
      <c r="B74" s="32"/>
      <c r="C74" s="33"/>
      <c r="D74" s="34"/>
      <c r="E74" s="35"/>
      <c r="F74" s="47"/>
      <c r="G74" s="47"/>
      <c r="H74" s="47"/>
      <c r="I74" s="47"/>
      <c r="J74" s="47"/>
      <c r="K74" s="37"/>
      <c r="L74" s="38"/>
      <c r="M74" s="38"/>
      <c r="N74" s="38"/>
      <c r="O74" s="38"/>
      <c r="P74" s="38"/>
    </row>
    <row r="75" ht="15.75" customHeight="1">
      <c r="A75" s="4"/>
      <c r="B75" s="32"/>
      <c r="C75" s="33"/>
      <c r="D75" s="34"/>
      <c r="E75" s="35"/>
      <c r="F75" s="47"/>
      <c r="G75" s="47"/>
      <c r="H75" s="47"/>
      <c r="I75" s="47"/>
      <c r="J75" s="47"/>
      <c r="K75" s="37"/>
      <c r="L75" s="38"/>
      <c r="M75" s="38"/>
      <c r="N75" s="38"/>
      <c r="O75" s="38"/>
      <c r="P75" s="38"/>
    </row>
    <row r="76" ht="15.75" customHeight="1">
      <c r="A76" s="4"/>
      <c r="B76" s="32"/>
      <c r="C76" s="33"/>
      <c r="D76" s="34"/>
      <c r="E76" s="35"/>
      <c r="F76" s="47"/>
      <c r="G76" s="47"/>
      <c r="H76" s="47"/>
      <c r="I76" s="47"/>
      <c r="J76" s="47"/>
      <c r="K76" s="37"/>
      <c r="L76" s="38"/>
      <c r="M76" s="38"/>
      <c r="N76" s="38"/>
      <c r="O76" s="38"/>
      <c r="P76" s="38"/>
    </row>
    <row r="77" ht="15.75" customHeight="1">
      <c r="A77" s="4"/>
      <c r="B77" s="32"/>
      <c r="C77" s="33"/>
      <c r="D77" s="34"/>
      <c r="E77" s="35"/>
      <c r="F77" s="47"/>
      <c r="G77" s="47"/>
      <c r="H77" s="47"/>
      <c r="I77" s="47"/>
      <c r="J77" s="47"/>
      <c r="K77" s="37"/>
      <c r="L77" s="38"/>
      <c r="M77" s="38"/>
      <c r="N77" s="38"/>
      <c r="O77" s="38"/>
      <c r="P77" s="38"/>
    </row>
    <row r="78" ht="15.75" customHeight="1">
      <c r="A78" s="4"/>
      <c r="B78" s="32"/>
      <c r="C78" s="33"/>
      <c r="D78" s="34"/>
      <c r="E78" s="35"/>
      <c r="F78" s="47"/>
      <c r="G78" s="47"/>
      <c r="H78" s="47"/>
      <c r="I78" s="47"/>
      <c r="J78" s="47"/>
      <c r="K78" s="37"/>
      <c r="L78" s="38"/>
      <c r="M78" s="38"/>
      <c r="N78" s="38"/>
      <c r="O78" s="38"/>
      <c r="P78" s="38"/>
    </row>
    <row r="79" ht="15.75" customHeight="1">
      <c r="A79" s="4"/>
      <c r="B79" s="32"/>
      <c r="C79" s="33"/>
      <c r="D79" s="34"/>
      <c r="E79" s="35"/>
      <c r="F79" s="47"/>
      <c r="G79" s="47"/>
      <c r="H79" s="47"/>
      <c r="I79" s="47"/>
      <c r="J79" s="47"/>
      <c r="K79" s="37"/>
      <c r="L79" s="38"/>
      <c r="M79" s="38"/>
      <c r="N79" s="38"/>
      <c r="O79" s="38"/>
      <c r="P79" s="38"/>
    </row>
    <row r="80" ht="15.75" customHeight="1">
      <c r="A80" s="4"/>
      <c r="B80" s="32"/>
      <c r="C80" s="33"/>
      <c r="D80" s="34"/>
      <c r="E80" s="35"/>
      <c r="F80" s="47"/>
      <c r="G80" s="47"/>
      <c r="H80" s="47"/>
      <c r="I80" s="47"/>
      <c r="J80" s="47"/>
      <c r="K80" s="37"/>
      <c r="L80" s="38"/>
      <c r="M80" s="38"/>
      <c r="N80" s="38"/>
      <c r="O80" s="38"/>
      <c r="P80" s="38"/>
    </row>
    <row r="81" ht="15.75" customHeight="1">
      <c r="A81" s="4"/>
      <c r="B81" s="32"/>
      <c r="C81" s="33"/>
      <c r="D81" s="34"/>
      <c r="E81" s="35"/>
      <c r="F81" s="47"/>
      <c r="G81" s="47"/>
      <c r="H81" s="47"/>
      <c r="I81" s="47"/>
      <c r="J81" s="47"/>
      <c r="K81" s="37"/>
      <c r="L81" s="38"/>
      <c r="M81" s="38"/>
      <c r="N81" s="38"/>
      <c r="O81" s="38"/>
      <c r="P81" s="38"/>
    </row>
    <row r="82" ht="15.75" customHeight="1">
      <c r="A82" s="4"/>
      <c r="B82" s="32"/>
      <c r="C82" s="33"/>
      <c r="D82" s="34"/>
      <c r="E82" s="35"/>
      <c r="F82" s="47"/>
      <c r="G82" s="47"/>
      <c r="H82" s="47"/>
      <c r="I82" s="47"/>
      <c r="J82" s="47"/>
      <c r="K82" s="37"/>
      <c r="L82" s="38"/>
      <c r="M82" s="38"/>
      <c r="N82" s="38"/>
      <c r="O82" s="38"/>
      <c r="P82" s="38"/>
    </row>
    <row r="83" ht="15.75" customHeight="1">
      <c r="A83" s="4"/>
      <c r="B83" s="32"/>
      <c r="C83" s="33"/>
      <c r="D83" s="34"/>
      <c r="E83" s="35"/>
      <c r="F83" s="47"/>
      <c r="G83" s="47"/>
      <c r="H83" s="47"/>
      <c r="I83" s="47"/>
      <c r="J83" s="47"/>
      <c r="K83" s="37"/>
      <c r="L83" s="38"/>
      <c r="M83" s="38"/>
      <c r="N83" s="38"/>
      <c r="O83" s="38"/>
      <c r="P83" s="38"/>
    </row>
    <row r="84" ht="15.75" customHeight="1">
      <c r="A84" s="4"/>
      <c r="B84" s="32"/>
      <c r="C84" s="33"/>
      <c r="D84" s="34"/>
      <c r="E84" s="35"/>
      <c r="F84" s="47"/>
      <c r="G84" s="47"/>
      <c r="H84" s="47"/>
      <c r="I84" s="47"/>
      <c r="J84" s="47"/>
      <c r="K84" s="37"/>
      <c r="L84" s="38"/>
      <c r="M84" s="38"/>
      <c r="N84" s="38"/>
      <c r="O84" s="38"/>
      <c r="P84" s="38"/>
    </row>
    <row r="85" ht="15.75" customHeight="1">
      <c r="A85" s="4"/>
      <c r="B85" s="32"/>
      <c r="C85" s="33"/>
      <c r="D85" s="34"/>
      <c r="E85" s="35"/>
      <c r="F85" s="47"/>
      <c r="G85" s="47"/>
      <c r="H85" s="47"/>
      <c r="I85" s="47"/>
      <c r="J85" s="47"/>
      <c r="K85" s="37"/>
      <c r="L85" s="38"/>
      <c r="M85" s="38"/>
      <c r="N85" s="38"/>
      <c r="O85" s="38"/>
      <c r="P85" s="38"/>
    </row>
    <row r="86" ht="15.75" customHeight="1">
      <c r="A86" s="4"/>
      <c r="B86" s="32"/>
      <c r="C86" s="33"/>
      <c r="D86" s="34"/>
      <c r="E86" s="35"/>
      <c r="F86" s="47"/>
      <c r="G86" s="47"/>
      <c r="H86" s="47"/>
      <c r="I86" s="47"/>
      <c r="J86" s="47"/>
      <c r="K86" s="37"/>
      <c r="L86" s="38"/>
      <c r="M86" s="38"/>
      <c r="N86" s="38"/>
      <c r="O86" s="38"/>
      <c r="P86" s="38"/>
    </row>
    <row r="87" ht="15.75" customHeight="1">
      <c r="A87" s="4"/>
      <c r="B87" s="32"/>
      <c r="C87" s="33"/>
      <c r="D87" s="34"/>
      <c r="E87" s="35"/>
      <c r="F87" s="47"/>
      <c r="G87" s="47"/>
      <c r="H87" s="47"/>
      <c r="I87" s="47"/>
      <c r="J87" s="47"/>
      <c r="K87" s="37"/>
      <c r="L87" s="38"/>
      <c r="M87" s="38"/>
      <c r="N87" s="38"/>
      <c r="O87" s="38"/>
      <c r="P87" s="38"/>
    </row>
    <row r="88" ht="15.75" customHeight="1">
      <c r="A88" s="4"/>
      <c r="B88" s="32"/>
      <c r="C88" s="33"/>
      <c r="D88" s="34"/>
      <c r="E88" s="35"/>
      <c r="F88" s="47"/>
      <c r="G88" s="47"/>
      <c r="H88" s="47"/>
      <c r="I88" s="47"/>
      <c r="J88" s="47"/>
      <c r="K88" s="37"/>
      <c r="L88" s="38"/>
      <c r="M88" s="38"/>
      <c r="N88" s="38"/>
      <c r="O88" s="38"/>
      <c r="P88" s="38"/>
    </row>
    <row r="89" ht="15.75" customHeight="1">
      <c r="A89" s="4"/>
      <c r="B89" s="32"/>
      <c r="C89" s="33"/>
      <c r="D89" s="34"/>
      <c r="E89" s="35"/>
      <c r="F89" s="47"/>
      <c r="G89" s="47"/>
      <c r="H89" s="47"/>
      <c r="I89" s="47"/>
      <c r="J89" s="47"/>
      <c r="K89" s="37"/>
      <c r="L89" s="38"/>
      <c r="M89" s="38"/>
      <c r="N89" s="38"/>
      <c r="O89" s="38"/>
      <c r="P89" s="38"/>
    </row>
    <row r="90" ht="15.75" customHeight="1">
      <c r="A90" s="4"/>
      <c r="B90" s="32"/>
      <c r="C90" s="33"/>
      <c r="D90" s="34"/>
      <c r="E90" s="35"/>
      <c r="F90" s="47"/>
      <c r="G90" s="47"/>
      <c r="H90" s="47"/>
      <c r="I90" s="47"/>
      <c r="J90" s="47"/>
      <c r="K90" s="37"/>
      <c r="L90" s="38"/>
      <c r="M90" s="38"/>
      <c r="N90" s="38"/>
      <c r="O90" s="38"/>
      <c r="P90" s="38"/>
    </row>
    <row r="91" ht="15.75" customHeight="1">
      <c r="A91" s="4"/>
      <c r="B91" s="32"/>
      <c r="C91" s="33"/>
      <c r="D91" s="34"/>
      <c r="E91" s="35"/>
      <c r="F91" s="47"/>
      <c r="G91" s="47"/>
      <c r="H91" s="47"/>
      <c r="I91" s="47"/>
      <c r="J91" s="47"/>
      <c r="K91" s="37"/>
      <c r="L91" s="38"/>
      <c r="M91" s="38"/>
      <c r="N91" s="38"/>
      <c r="O91" s="38"/>
      <c r="P91" s="38"/>
    </row>
    <row r="92" ht="15.75" customHeight="1">
      <c r="A92" s="4"/>
      <c r="B92" s="32"/>
      <c r="C92" s="33"/>
      <c r="D92" s="34"/>
      <c r="E92" s="35"/>
      <c r="F92" s="47"/>
      <c r="G92" s="47"/>
      <c r="H92" s="47"/>
      <c r="I92" s="47"/>
      <c r="J92" s="47"/>
      <c r="K92" s="37"/>
      <c r="L92" s="38"/>
      <c r="M92" s="38"/>
      <c r="N92" s="38"/>
      <c r="O92" s="38"/>
      <c r="P92" s="38"/>
    </row>
    <row r="93" ht="15.75" customHeight="1">
      <c r="A93" s="4"/>
      <c r="B93" s="32"/>
      <c r="C93" s="33"/>
      <c r="D93" s="34"/>
      <c r="E93" s="35"/>
      <c r="F93" s="47"/>
      <c r="G93" s="47"/>
      <c r="H93" s="47"/>
      <c r="I93" s="47"/>
      <c r="J93" s="47"/>
      <c r="K93" s="37"/>
      <c r="L93" s="38"/>
      <c r="M93" s="38"/>
      <c r="N93" s="38"/>
      <c r="O93" s="38"/>
      <c r="P93" s="38"/>
    </row>
    <row r="94" ht="15.75" customHeight="1">
      <c r="A94" s="4"/>
      <c r="B94" s="32"/>
      <c r="C94" s="33"/>
      <c r="D94" s="34"/>
      <c r="E94" s="35"/>
      <c r="F94" s="47"/>
      <c r="G94" s="47"/>
      <c r="H94" s="47"/>
      <c r="I94" s="47"/>
      <c r="J94" s="47"/>
      <c r="K94" s="37"/>
      <c r="L94" s="38"/>
      <c r="M94" s="38"/>
      <c r="N94" s="38"/>
      <c r="O94" s="38"/>
      <c r="P94" s="38"/>
    </row>
    <row r="95" ht="15.75" customHeight="1">
      <c r="A95" s="4"/>
      <c r="B95" s="32"/>
      <c r="C95" s="33"/>
      <c r="D95" s="34"/>
      <c r="E95" s="35"/>
      <c r="F95" s="47"/>
      <c r="G95" s="47"/>
      <c r="H95" s="47"/>
      <c r="I95" s="47"/>
      <c r="J95" s="47"/>
      <c r="K95" s="37"/>
      <c r="L95" s="38"/>
      <c r="M95" s="38"/>
      <c r="N95" s="38"/>
      <c r="O95" s="38"/>
      <c r="P95" s="38"/>
    </row>
    <row r="96" ht="15.75" customHeight="1">
      <c r="A96" s="4"/>
      <c r="B96" s="32"/>
      <c r="C96" s="33"/>
      <c r="D96" s="34"/>
      <c r="E96" s="35"/>
      <c r="F96" s="47"/>
      <c r="G96" s="47"/>
      <c r="H96" s="47"/>
      <c r="I96" s="47"/>
      <c r="J96" s="47"/>
      <c r="K96" s="37"/>
      <c r="L96" s="38"/>
      <c r="M96" s="38"/>
      <c r="N96" s="38"/>
      <c r="O96" s="38"/>
      <c r="P96" s="38"/>
    </row>
    <row r="97" ht="15.75" customHeight="1">
      <c r="A97" s="4"/>
      <c r="B97" s="32"/>
      <c r="C97" s="33"/>
      <c r="D97" s="34"/>
      <c r="E97" s="35"/>
      <c r="F97" s="47"/>
      <c r="G97" s="47"/>
      <c r="H97" s="47"/>
      <c r="I97" s="47"/>
      <c r="J97" s="47"/>
      <c r="K97" s="37"/>
      <c r="L97" s="38"/>
      <c r="M97" s="38"/>
      <c r="N97" s="38"/>
      <c r="O97" s="38"/>
      <c r="P97" s="38"/>
    </row>
    <row r="98" ht="15.75" customHeight="1">
      <c r="A98" s="4"/>
      <c r="B98" s="32"/>
      <c r="C98" s="33"/>
      <c r="D98" s="34"/>
      <c r="E98" s="35"/>
      <c r="F98" s="47"/>
      <c r="G98" s="47"/>
      <c r="H98" s="47"/>
      <c r="I98" s="47"/>
      <c r="J98" s="47"/>
      <c r="K98" s="37"/>
      <c r="L98" s="38"/>
      <c r="M98" s="38"/>
      <c r="N98" s="38"/>
      <c r="O98" s="38"/>
      <c r="P98" s="38"/>
    </row>
    <row r="99" ht="15.75" customHeight="1">
      <c r="A99" s="4"/>
      <c r="B99" s="32"/>
      <c r="C99" s="33"/>
      <c r="D99" s="34"/>
      <c r="E99" s="35"/>
      <c r="F99" s="47"/>
      <c r="G99" s="47"/>
      <c r="H99" s="47"/>
      <c r="I99" s="47"/>
      <c r="J99" s="47"/>
      <c r="K99" s="37"/>
      <c r="L99" s="38"/>
      <c r="M99" s="38"/>
      <c r="N99" s="38"/>
      <c r="O99" s="38"/>
      <c r="P99" s="38"/>
    </row>
    <row r="100" ht="15.75" customHeight="1">
      <c r="A100" s="4"/>
      <c r="B100" s="32"/>
      <c r="C100" s="33"/>
      <c r="D100" s="34"/>
      <c r="E100" s="35"/>
      <c r="F100" s="47"/>
      <c r="G100" s="47"/>
      <c r="H100" s="47"/>
      <c r="I100" s="47"/>
      <c r="J100" s="47"/>
      <c r="K100" s="37"/>
      <c r="L100" s="38"/>
      <c r="M100" s="38"/>
      <c r="N100" s="38"/>
      <c r="O100" s="38"/>
      <c r="P100" s="38"/>
    </row>
    <row r="101" ht="15.75" customHeight="1">
      <c r="A101" s="4"/>
      <c r="B101" s="32"/>
      <c r="C101" s="33"/>
      <c r="D101" s="34"/>
      <c r="E101" s="35"/>
      <c r="F101" s="47"/>
      <c r="G101" s="47"/>
      <c r="H101" s="47"/>
      <c r="I101" s="47"/>
      <c r="J101" s="47"/>
      <c r="K101" s="37"/>
      <c r="L101" s="38"/>
      <c r="M101" s="38"/>
      <c r="N101" s="38"/>
      <c r="O101" s="38"/>
      <c r="P101" s="38"/>
    </row>
    <row r="102" ht="15.75" customHeight="1">
      <c r="A102" s="4"/>
      <c r="B102" s="32"/>
      <c r="C102" s="33"/>
      <c r="D102" s="34"/>
      <c r="E102" s="35"/>
      <c r="F102" s="47"/>
      <c r="G102" s="47"/>
      <c r="H102" s="47"/>
      <c r="I102" s="47"/>
      <c r="J102" s="47"/>
      <c r="K102" s="37"/>
      <c r="L102" s="38"/>
      <c r="M102" s="38"/>
      <c r="N102" s="38"/>
      <c r="O102" s="38"/>
      <c r="P102" s="38"/>
    </row>
    <row r="103" ht="15.75" customHeight="1">
      <c r="A103" s="4"/>
      <c r="B103" s="32"/>
      <c r="C103" s="33"/>
      <c r="D103" s="34"/>
      <c r="E103" s="35"/>
      <c r="F103" s="47"/>
      <c r="G103" s="47"/>
      <c r="H103" s="47"/>
      <c r="I103" s="47"/>
      <c r="J103" s="47"/>
      <c r="K103" s="37"/>
      <c r="L103" s="38"/>
      <c r="M103" s="38"/>
      <c r="N103" s="38"/>
      <c r="O103" s="38"/>
      <c r="P103" s="38"/>
    </row>
    <row r="104" ht="15.75" customHeight="1">
      <c r="A104" s="4"/>
      <c r="B104" s="32"/>
      <c r="C104" s="33"/>
      <c r="D104" s="34"/>
      <c r="E104" s="35"/>
      <c r="F104" s="47"/>
      <c r="G104" s="47"/>
      <c r="H104" s="47"/>
      <c r="I104" s="47"/>
      <c r="J104" s="47"/>
      <c r="K104" s="37"/>
      <c r="L104" s="38"/>
      <c r="M104" s="38"/>
      <c r="N104" s="38"/>
      <c r="O104" s="38"/>
      <c r="P104" s="38"/>
    </row>
    <row r="105" ht="15.75" customHeight="1">
      <c r="A105" s="4"/>
      <c r="B105" s="32"/>
      <c r="C105" s="33"/>
      <c r="D105" s="34"/>
      <c r="E105" s="35"/>
      <c r="F105" s="47"/>
      <c r="G105" s="47"/>
      <c r="H105" s="47"/>
      <c r="I105" s="47"/>
      <c r="J105" s="47"/>
      <c r="K105" s="37"/>
      <c r="L105" s="38"/>
      <c r="M105" s="38"/>
      <c r="N105" s="38"/>
      <c r="O105" s="38"/>
      <c r="P105" s="38"/>
    </row>
    <row r="106" ht="15.75" customHeight="1">
      <c r="A106" s="4"/>
      <c r="B106" s="32"/>
      <c r="C106" s="33"/>
      <c r="D106" s="34"/>
      <c r="E106" s="35"/>
      <c r="F106" s="47"/>
      <c r="G106" s="47"/>
      <c r="H106" s="47"/>
      <c r="I106" s="47"/>
      <c r="J106" s="47"/>
      <c r="K106" s="37"/>
      <c r="L106" s="38"/>
      <c r="M106" s="38"/>
      <c r="N106" s="38"/>
      <c r="O106" s="38"/>
      <c r="P106" s="38"/>
    </row>
    <row r="107" ht="15.75" customHeight="1">
      <c r="A107" s="4"/>
      <c r="B107" s="32"/>
      <c r="C107" s="33"/>
      <c r="D107" s="34"/>
      <c r="E107" s="35"/>
      <c r="F107" s="47"/>
      <c r="G107" s="47"/>
      <c r="H107" s="47"/>
      <c r="I107" s="47"/>
      <c r="J107" s="47"/>
      <c r="K107" s="37"/>
      <c r="L107" s="38"/>
      <c r="M107" s="38"/>
      <c r="N107" s="38"/>
      <c r="O107" s="38"/>
      <c r="P107" s="38"/>
    </row>
    <row r="108" ht="15.75" customHeight="1">
      <c r="A108" s="4"/>
      <c r="B108" s="32"/>
      <c r="C108" s="33"/>
      <c r="D108" s="34"/>
      <c r="E108" s="35"/>
      <c r="F108" s="47"/>
      <c r="G108" s="47"/>
      <c r="H108" s="47"/>
      <c r="I108" s="47"/>
      <c r="J108" s="47"/>
      <c r="K108" s="37"/>
      <c r="L108" s="38"/>
      <c r="M108" s="38"/>
      <c r="N108" s="38"/>
      <c r="O108" s="38"/>
      <c r="P108" s="38"/>
    </row>
    <row r="109" ht="15.75" customHeight="1">
      <c r="A109" s="4"/>
      <c r="B109" s="32"/>
      <c r="C109" s="33"/>
      <c r="D109" s="34"/>
      <c r="E109" s="35"/>
      <c r="F109" s="47"/>
      <c r="G109" s="47"/>
      <c r="H109" s="47"/>
      <c r="I109" s="47"/>
      <c r="J109" s="47"/>
      <c r="K109" s="37"/>
      <c r="L109" s="38"/>
      <c r="M109" s="38"/>
      <c r="N109" s="38"/>
      <c r="O109" s="38"/>
      <c r="P109" s="38"/>
    </row>
    <row r="110" ht="15.75" customHeight="1">
      <c r="A110" s="4"/>
      <c r="B110" s="32"/>
      <c r="C110" s="33"/>
      <c r="D110" s="34"/>
      <c r="E110" s="35"/>
      <c r="F110" s="47"/>
      <c r="G110" s="47"/>
      <c r="H110" s="47"/>
      <c r="I110" s="47"/>
      <c r="J110" s="47"/>
      <c r="K110" s="37"/>
      <c r="L110" s="38"/>
      <c r="M110" s="38"/>
      <c r="N110" s="38"/>
      <c r="O110" s="38"/>
      <c r="P110" s="38"/>
    </row>
    <row r="111" ht="15.75" customHeight="1">
      <c r="A111" s="4"/>
      <c r="B111" s="32"/>
      <c r="C111" s="33"/>
      <c r="D111" s="34"/>
      <c r="E111" s="35"/>
      <c r="F111" s="47"/>
      <c r="G111" s="47"/>
      <c r="H111" s="47"/>
      <c r="I111" s="47"/>
      <c r="J111" s="47"/>
      <c r="K111" s="37"/>
      <c r="L111" s="38"/>
      <c r="M111" s="38"/>
      <c r="N111" s="38"/>
      <c r="O111" s="38"/>
      <c r="P111" s="38"/>
    </row>
    <row r="112" ht="15.75" customHeight="1">
      <c r="A112" s="4"/>
      <c r="B112" s="32"/>
      <c r="C112" s="33"/>
      <c r="D112" s="34"/>
      <c r="E112" s="35"/>
      <c r="F112" s="47"/>
      <c r="G112" s="47"/>
      <c r="H112" s="47"/>
      <c r="I112" s="47"/>
      <c r="J112" s="47"/>
      <c r="K112" s="37"/>
      <c r="L112" s="38"/>
      <c r="M112" s="38"/>
      <c r="N112" s="38"/>
      <c r="O112" s="38"/>
      <c r="P112" s="38"/>
    </row>
    <row r="113" ht="15.75" customHeight="1">
      <c r="A113" s="4"/>
      <c r="B113" s="32"/>
      <c r="C113" s="33"/>
      <c r="D113" s="34"/>
      <c r="E113" s="35"/>
      <c r="F113" s="47"/>
      <c r="G113" s="47"/>
      <c r="H113" s="47"/>
      <c r="I113" s="47"/>
      <c r="J113" s="47"/>
      <c r="K113" s="37"/>
      <c r="L113" s="38"/>
      <c r="M113" s="38"/>
      <c r="N113" s="38"/>
      <c r="O113" s="38"/>
      <c r="P113" s="38"/>
    </row>
    <row r="114" ht="15.75" customHeight="1">
      <c r="A114" s="4"/>
      <c r="B114" s="32"/>
      <c r="C114" s="33"/>
      <c r="D114" s="34"/>
      <c r="E114" s="35"/>
      <c r="F114" s="47"/>
      <c r="G114" s="47"/>
      <c r="H114" s="47"/>
      <c r="I114" s="47"/>
      <c r="J114" s="47"/>
      <c r="K114" s="37"/>
      <c r="L114" s="38"/>
      <c r="M114" s="38"/>
      <c r="N114" s="38"/>
      <c r="O114" s="38"/>
      <c r="P114" s="38"/>
    </row>
    <row r="115" ht="15.75" customHeight="1">
      <c r="A115" s="4"/>
      <c r="B115" s="32"/>
      <c r="C115" s="33"/>
      <c r="D115" s="34"/>
      <c r="E115" s="35"/>
      <c r="F115" s="47"/>
      <c r="G115" s="47"/>
      <c r="H115" s="47"/>
      <c r="I115" s="47"/>
      <c r="J115" s="47"/>
      <c r="K115" s="37"/>
      <c r="L115" s="38"/>
      <c r="M115" s="38"/>
      <c r="N115" s="38"/>
      <c r="O115" s="38"/>
      <c r="P115" s="38"/>
    </row>
    <row r="116" ht="15.75" customHeight="1">
      <c r="A116" s="4"/>
      <c r="B116" s="32"/>
      <c r="C116" s="33"/>
      <c r="D116" s="34"/>
      <c r="E116" s="35"/>
      <c r="F116" s="47"/>
      <c r="G116" s="47"/>
      <c r="H116" s="47"/>
      <c r="I116" s="47"/>
      <c r="J116" s="47"/>
      <c r="K116" s="37"/>
      <c r="L116" s="38"/>
      <c r="M116" s="38"/>
      <c r="N116" s="38"/>
      <c r="O116" s="38"/>
      <c r="P116" s="38"/>
    </row>
    <row r="117" ht="15.75" customHeight="1">
      <c r="A117" s="4"/>
      <c r="B117" s="32"/>
      <c r="C117" s="33"/>
      <c r="D117" s="34"/>
      <c r="E117" s="35"/>
      <c r="F117" s="47"/>
      <c r="G117" s="47"/>
      <c r="H117" s="47"/>
      <c r="I117" s="47"/>
      <c r="J117" s="47"/>
      <c r="K117" s="37"/>
      <c r="L117" s="38"/>
      <c r="M117" s="38"/>
      <c r="N117" s="38"/>
      <c r="O117" s="38"/>
      <c r="P117" s="38"/>
    </row>
    <row r="118" ht="15.75" customHeight="1">
      <c r="A118" s="4"/>
      <c r="B118" s="32"/>
      <c r="C118" s="33"/>
      <c r="D118" s="34"/>
      <c r="E118" s="35"/>
      <c r="F118" s="47"/>
      <c r="G118" s="47"/>
      <c r="H118" s="47"/>
      <c r="I118" s="47"/>
      <c r="J118" s="47"/>
      <c r="K118" s="37"/>
      <c r="L118" s="38"/>
      <c r="M118" s="38"/>
      <c r="N118" s="38"/>
      <c r="O118" s="38"/>
      <c r="P118" s="38"/>
    </row>
    <row r="119" ht="15.75" customHeight="1">
      <c r="A119" s="4"/>
      <c r="B119" s="32"/>
      <c r="C119" s="33"/>
      <c r="D119" s="34"/>
      <c r="E119" s="35"/>
      <c r="F119" s="47"/>
      <c r="G119" s="47"/>
      <c r="H119" s="47"/>
      <c r="I119" s="47"/>
      <c r="J119" s="47"/>
      <c r="K119" s="37"/>
      <c r="L119" s="38"/>
      <c r="M119" s="38"/>
      <c r="N119" s="38"/>
      <c r="O119" s="38"/>
      <c r="P119" s="38"/>
    </row>
    <row r="120" ht="15.75" customHeight="1">
      <c r="A120" s="4"/>
      <c r="B120" s="32"/>
      <c r="C120" s="33"/>
      <c r="D120" s="34"/>
      <c r="E120" s="35"/>
      <c r="F120" s="47"/>
      <c r="G120" s="47"/>
      <c r="H120" s="47"/>
      <c r="I120" s="47"/>
      <c r="J120" s="47"/>
      <c r="K120" s="37"/>
      <c r="L120" s="38"/>
      <c r="M120" s="38"/>
      <c r="N120" s="38"/>
      <c r="O120" s="38"/>
      <c r="P120" s="38"/>
    </row>
    <row r="121" ht="15.75" customHeight="1">
      <c r="A121" s="4"/>
      <c r="B121" s="32"/>
      <c r="C121" s="33"/>
      <c r="D121" s="34"/>
      <c r="E121" s="35"/>
      <c r="F121" s="47"/>
      <c r="G121" s="47"/>
      <c r="H121" s="47"/>
      <c r="I121" s="47"/>
      <c r="J121" s="47"/>
      <c r="K121" s="37"/>
      <c r="L121" s="38"/>
      <c r="M121" s="38"/>
      <c r="N121" s="38"/>
      <c r="O121" s="38"/>
      <c r="P121" s="38"/>
    </row>
    <row r="122" ht="15.75" customHeight="1">
      <c r="A122" s="4"/>
      <c r="B122" s="32"/>
      <c r="C122" s="33"/>
      <c r="D122" s="34"/>
      <c r="E122" s="35"/>
      <c r="F122" s="47"/>
      <c r="G122" s="47"/>
      <c r="H122" s="47"/>
      <c r="I122" s="47"/>
      <c r="J122" s="47"/>
      <c r="K122" s="37"/>
      <c r="L122" s="38"/>
      <c r="M122" s="38"/>
      <c r="N122" s="38"/>
      <c r="O122" s="38"/>
      <c r="P122" s="38"/>
    </row>
    <row r="123" ht="15.75" customHeight="1">
      <c r="A123" s="4"/>
      <c r="B123" s="32"/>
      <c r="C123" s="33"/>
      <c r="D123" s="34"/>
      <c r="E123" s="35"/>
      <c r="F123" s="47"/>
      <c r="G123" s="47"/>
      <c r="H123" s="47"/>
      <c r="I123" s="47"/>
      <c r="J123" s="47"/>
      <c r="K123" s="37"/>
      <c r="L123" s="38"/>
      <c r="M123" s="38"/>
      <c r="N123" s="38"/>
      <c r="O123" s="38"/>
      <c r="P123" s="38"/>
    </row>
    <row r="124" ht="15.75" customHeight="1">
      <c r="A124" s="4"/>
      <c r="B124" s="32"/>
      <c r="C124" s="33"/>
      <c r="D124" s="34"/>
      <c r="E124" s="35"/>
      <c r="F124" s="47"/>
      <c r="G124" s="47"/>
      <c r="H124" s="47"/>
      <c r="I124" s="47"/>
      <c r="J124" s="47"/>
      <c r="K124" s="37"/>
      <c r="L124" s="38"/>
      <c r="M124" s="38"/>
      <c r="N124" s="38"/>
      <c r="O124" s="38"/>
      <c r="P124" s="38"/>
    </row>
    <row r="125" ht="15.75" customHeight="1">
      <c r="A125" s="4"/>
      <c r="B125" s="32"/>
      <c r="C125" s="33"/>
      <c r="D125" s="34"/>
      <c r="E125" s="35"/>
      <c r="F125" s="47"/>
      <c r="G125" s="47"/>
      <c r="H125" s="47"/>
      <c r="I125" s="47"/>
      <c r="J125" s="47"/>
      <c r="K125" s="37"/>
      <c r="L125" s="38"/>
      <c r="M125" s="38"/>
      <c r="N125" s="38"/>
      <c r="O125" s="38"/>
      <c r="P125" s="38"/>
    </row>
    <row r="126" ht="15.75" customHeight="1">
      <c r="A126" s="4"/>
      <c r="B126" s="32"/>
      <c r="C126" s="33"/>
      <c r="D126" s="34"/>
      <c r="E126" s="35"/>
      <c r="F126" s="47"/>
      <c r="G126" s="47"/>
      <c r="H126" s="47"/>
      <c r="I126" s="47"/>
      <c r="J126" s="47"/>
      <c r="K126" s="37"/>
      <c r="L126" s="38"/>
      <c r="M126" s="38"/>
      <c r="N126" s="38"/>
      <c r="O126" s="38"/>
      <c r="P126" s="38"/>
    </row>
    <row r="127" ht="15.75" customHeight="1">
      <c r="A127" s="4"/>
      <c r="B127" s="32"/>
      <c r="C127" s="33"/>
      <c r="D127" s="34"/>
      <c r="E127" s="35"/>
      <c r="F127" s="47"/>
      <c r="G127" s="47"/>
      <c r="H127" s="47"/>
      <c r="I127" s="47"/>
      <c r="J127" s="47"/>
      <c r="K127" s="37"/>
      <c r="L127" s="38"/>
      <c r="M127" s="38"/>
      <c r="N127" s="38"/>
      <c r="O127" s="38"/>
      <c r="P127" s="38"/>
    </row>
    <row r="128" ht="15.75" customHeight="1">
      <c r="A128" s="4"/>
      <c r="B128" s="32"/>
      <c r="C128" s="33"/>
      <c r="D128" s="34"/>
      <c r="E128" s="35"/>
      <c r="F128" s="47"/>
      <c r="G128" s="47"/>
      <c r="H128" s="47"/>
      <c r="I128" s="47"/>
      <c r="J128" s="47"/>
      <c r="K128" s="37"/>
      <c r="L128" s="38"/>
      <c r="M128" s="38"/>
      <c r="N128" s="38"/>
      <c r="O128" s="38"/>
      <c r="P128" s="38"/>
    </row>
    <row r="129" ht="15.75" customHeight="1">
      <c r="A129" s="4"/>
      <c r="B129" s="32"/>
      <c r="C129" s="33"/>
      <c r="D129" s="34"/>
      <c r="E129" s="35"/>
      <c r="F129" s="47"/>
      <c r="G129" s="47"/>
      <c r="H129" s="47"/>
      <c r="I129" s="47"/>
      <c r="J129" s="47"/>
      <c r="K129" s="37"/>
      <c r="L129" s="38"/>
      <c r="M129" s="38"/>
      <c r="N129" s="38"/>
      <c r="O129" s="38"/>
      <c r="P129" s="38"/>
    </row>
    <row r="130" ht="15.75" customHeight="1">
      <c r="A130" s="4"/>
      <c r="B130" s="32"/>
      <c r="C130" s="33"/>
      <c r="D130" s="34"/>
      <c r="E130" s="35"/>
      <c r="F130" s="47"/>
      <c r="G130" s="47"/>
      <c r="H130" s="47"/>
      <c r="I130" s="47"/>
      <c r="J130" s="47"/>
      <c r="K130" s="37"/>
      <c r="L130" s="38"/>
      <c r="M130" s="38"/>
      <c r="N130" s="38"/>
      <c r="O130" s="38"/>
      <c r="P130" s="38"/>
    </row>
    <row r="131" ht="15.75" customHeight="1">
      <c r="A131" s="4"/>
      <c r="B131" s="50"/>
      <c r="C131" s="49"/>
      <c r="D131" s="51"/>
      <c r="E131" s="52"/>
      <c r="F131" s="47"/>
      <c r="G131" s="47"/>
      <c r="H131" s="47"/>
      <c r="I131" s="47"/>
      <c r="J131" s="47"/>
      <c r="K131" s="53"/>
      <c r="L131" s="54"/>
      <c r="M131" s="54"/>
      <c r="N131" s="54"/>
      <c r="O131" s="54"/>
      <c r="P131" s="54"/>
    </row>
    <row r="132" ht="15.75" customHeight="1">
      <c r="A132" s="38"/>
      <c r="B132" s="55"/>
      <c r="C132" s="56"/>
      <c r="D132" s="57"/>
      <c r="E132" s="32"/>
      <c r="F132" s="58"/>
      <c r="G132" s="58"/>
      <c r="H132" s="58"/>
      <c r="I132" s="58"/>
      <c r="J132" s="58"/>
      <c r="K132" s="38"/>
      <c r="L132" s="38"/>
      <c r="M132" s="38"/>
      <c r="N132" s="38"/>
      <c r="O132" s="38"/>
      <c r="P132" s="38"/>
    </row>
    <row r="133" ht="15.75" customHeight="1">
      <c r="A133" s="38"/>
      <c r="B133" s="55"/>
      <c r="C133" s="56"/>
      <c r="D133" s="57"/>
      <c r="E133" s="32"/>
      <c r="F133" s="59"/>
      <c r="G133" s="59"/>
      <c r="H133" s="59"/>
      <c r="I133" s="59"/>
      <c r="J133" s="59"/>
      <c r="K133" s="38"/>
      <c r="L133" s="38"/>
      <c r="M133" s="38"/>
      <c r="N133" s="38"/>
      <c r="O133" s="38"/>
      <c r="P133" s="38"/>
    </row>
    <row r="134" ht="15.75" customHeight="1">
      <c r="A134" s="38"/>
      <c r="B134" s="55"/>
      <c r="C134" s="56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</row>
    <row r="135" ht="15.75" customHeight="1">
      <c r="A135" s="38"/>
      <c r="B135" s="55"/>
      <c r="C135" s="56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</row>
    <row r="136" ht="15.75" customHeight="1">
      <c r="A136" s="38"/>
      <c r="B136" s="55"/>
      <c r="C136" s="56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</row>
    <row r="137" ht="15.75" customHeight="1">
      <c r="A137" s="38"/>
      <c r="B137" s="55"/>
      <c r="C137" s="56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</row>
    <row r="138" ht="15.75" customHeight="1">
      <c r="A138" s="38"/>
      <c r="B138" s="55"/>
      <c r="C138" s="56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</row>
    <row r="139" ht="15.75" customHeight="1">
      <c r="A139" s="38"/>
      <c r="B139" s="55"/>
      <c r="C139" s="56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</row>
    <row r="140" ht="15.75" customHeight="1">
      <c r="A140" s="38"/>
      <c r="B140" s="55"/>
      <c r="C140" s="56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</row>
    <row r="141" ht="15.75" customHeight="1">
      <c r="A141" s="38"/>
      <c r="B141" s="55"/>
      <c r="C141" s="56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</row>
    <row r="142" ht="15.75" customHeight="1">
      <c r="A142" s="38"/>
      <c r="B142" s="55"/>
      <c r="C142" s="56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</row>
    <row r="143" ht="15.75" customHeight="1">
      <c r="A143" s="38"/>
      <c r="B143" s="55"/>
      <c r="C143" s="56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</row>
    <row r="144" ht="15.75" customHeight="1">
      <c r="A144" s="38"/>
      <c r="B144" s="55"/>
      <c r="C144" s="56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</row>
    <row r="145" ht="15.75" customHeight="1">
      <c r="A145" s="38"/>
      <c r="B145" s="55"/>
      <c r="C145" s="56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</row>
    <row r="146" ht="15.75" customHeight="1">
      <c r="A146" s="38"/>
      <c r="B146" s="55"/>
      <c r="C146" s="56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</row>
    <row r="147" ht="15.75" customHeight="1">
      <c r="A147" s="38"/>
      <c r="B147" s="55"/>
      <c r="C147" s="56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</row>
    <row r="148" ht="15.75" customHeight="1">
      <c r="A148" s="38"/>
      <c r="B148" s="55"/>
      <c r="C148" s="56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</row>
    <row r="149" ht="15.75" customHeight="1">
      <c r="A149" s="38"/>
      <c r="B149" s="55"/>
      <c r="C149" s="56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</row>
    <row r="150" ht="15.75" customHeight="1">
      <c r="A150" s="38"/>
      <c r="B150" s="55"/>
      <c r="C150" s="56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</row>
    <row r="151" ht="15.75" customHeight="1">
      <c r="A151" s="38"/>
      <c r="B151" s="55"/>
      <c r="C151" s="56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</row>
    <row r="152" ht="15.75" customHeight="1">
      <c r="A152" s="38"/>
      <c r="B152" s="55"/>
      <c r="C152" s="56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</row>
    <row r="153" ht="15.75" customHeight="1">
      <c r="A153" s="38"/>
      <c r="B153" s="55"/>
      <c r="C153" s="56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</row>
    <row r="154" ht="15.75" customHeight="1">
      <c r="A154" s="38"/>
      <c r="B154" s="55"/>
      <c r="C154" s="56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</row>
    <row r="155" ht="15.75" customHeight="1">
      <c r="A155" s="38"/>
      <c r="B155" s="55"/>
      <c r="C155" s="56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</row>
    <row r="156" ht="15.75" customHeight="1">
      <c r="A156" s="38"/>
      <c r="B156" s="55"/>
      <c r="C156" s="56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</row>
    <row r="157" ht="15.75" customHeight="1">
      <c r="A157" s="38"/>
      <c r="B157" s="55"/>
      <c r="C157" s="56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</row>
    <row r="158" ht="15.75" customHeight="1">
      <c r="A158" s="38"/>
      <c r="B158" s="55"/>
      <c r="C158" s="56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</row>
    <row r="159" ht="15.75" customHeight="1">
      <c r="A159" s="38"/>
      <c r="B159" s="55"/>
      <c r="C159" s="56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</row>
    <row r="160" ht="15.75" customHeight="1">
      <c r="A160" s="38"/>
      <c r="B160" s="55"/>
      <c r="C160" s="56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</row>
    <row r="161" ht="15.75" customHeight="1">
      <c r="A161" s="38"/>
      <c r="B161" s="55"/>
      <c r="C161" s="56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</row>
    <row r="162" ht="15.75" customHeight="1">
      <c r="A162" s="38"/>
      <c r="B162" s="55"/>
      <c r="C162" s="56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</row>
    <row r="163" ht="15.75" customHeight="1">
      <c r="A163" s="38"/>
      <c r="B163" s="55"/>
      <c r="C163" s="56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</row>
    <row r="164" ht="15.75" customHeight="1">
      <c r="A164" s="38"/>
      <c r="B164" s="55"/>
      <c r="C164" s="56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</row>
    <row r="165" ht="15.75" customHeight="1">
      <c r="A165" s="38"/>
      <c r="B165" s="55"/>
      <c r="C165" s="56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</row>
    <row r="166" ht="15.75" customHeight="1">
      <c r="A166" s="38"/>
      <c r="B166" s="55"/>
      <c r="C166" s="56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</row>
    <row r="167" ht="15.75" customHeight="1">
      <c r="A167" s="38"/>
      <c r="B167" s="55"/>
      <c r="C167" s="56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</row>
    <row r="168" ht="15.75" customHeight="1">
      <c r="A168" s="38"/>
      <c r="B168" s="55"/>
      <c r="C168" s="56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</row>
    <row r="169" ht="15.75" customHeight="1">
      <c r="A169" s="38"/>
      <c r="B169" s="55"/>
      <c r="C169" s="56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</row>
    <row r="170" ht="15.75" customHeight="1">
      <c r="A170" s="38"/>
      <c r="B170" s="55"/>
      <c r="C170" s="5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</row>
    <row r="171" ht="15.75" customHeight="1">
      <c r="A171" s="38"/>
      <c r="B171" s="55"/>
      <c r="C171" s="56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</row>
    <row r="172" ht="15.75" customHeight="1">
      <c r="A172" s="38"/>
      <c r="B172" s="55"/>
      <c r="C172" s="56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</row>
    <row r="173" ht="15.75" customHeight="1">
      <c r="A173" s="38"/>
      <c r="B173" s="55"/>
      <c r="C173" s="56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</row>
    <row r="174" ht="15.75" customHeight="1">
      <c r="A174" s="38"/>
      <c r="B174" s="55"/>
      <c r="C174" s="5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</row>
    <row r="175" ht="15.75" customHeight="1">
      <c r="A175" s="38"/>
      <c r="B175" s="55"/>
      <c r="C175" s="56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</row>
    <row r="176" ht="15.75" customHeight="1">
      <c r="A176" s="38"/>
      <c r="B176" s="55"/>
      <c r="C176" s="56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</row>
    <row r="177" ht="15.75" customHeight="1">
      <c r="A177" s="38"/>
      <c r="B177" s="55"/>
      <c r="C177" s="56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</row>
    <row r="178" ht="15.75" customHeight="1">
      <c r="A178" s="38"/>
      <c r="B178" s="55"/>
      <c r="C178" s="5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</row>
    <row r="179" ht="15.75" customHeight="1">
      <c r="A179" s="38"/>
      <c r="B179" s="55"/>
      <c r="C179" s="56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</row>
    <row r="180" ht="15.75" customHeight="1">
      <c r="A180" s="38"/>
      <c r="B180" s="55"/>
      <c r="C180" s="56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</row>
    <row r="181" ht="15.75" customHeight="1">
      <c r="A181" s="38"/>
      <c r="B181" s="55"/>
      <c r="C181" s="56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</row>
    <row r="182" ht="15.75" customHeight="1">
      <c r="A182" s="38"/>
      <c r="B182" s="55"/>
      <c r="C182" s="5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</row>
    <row r="183" ht="15.75" customHeight="1">
      <c r="A183" s="38"/>
      <c r="B183" s="55"/>
      <c r="C183" s="56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</row>
    <row r="184" ht="15.75" customHeight="1">
      <c r="A184" s="38"/>
      <c r="B184" s="55"/>
      <c r="C184" s="56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</row>
    <row r="185" ht="15.75" customHeight="1">
      <c r="A185" s="38"/>
      <c r="B185" s="55"/>
      <c r="C185" s="56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</row>
    <row r="186" ht="15.75" customHeight="1">
      <c r="A186" s="38"/>
      <c r="B186" s="55"/>
      <c r="C186" s="5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</row>
    <row r="187" ht="15.75" customHeight="1">
      <c r="A187" s="38"/>
      <c r="B187" s="55"/>
      <c r="C187" s="56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</row>
    <row r="188" ht="15.75" customHeight="1">
      <c r="A188" s="38"/>
      <c r="B188" s="55"/>
      <c r="C188" s="56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</row>
    <row r="189" ht="15.75" customHeight="1">
      <c r="A189" s="38"/>
      <c r="B189" s="55"/>
      <c r="C189" s="56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</row>
    <row r="190" ht="15.75" customHeight="1">
      <c r="A190" s="38"/>
      <c r="B190" s="55"/>
      <c r="C190" s="5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</row>
    <row r="191" ht="15.75" customHeight="1">
      <c r="A191" s="38"/>
      <c r="B191" s="55"/>
      <c r="C191" s="56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</row>
    <row r="192" ht="15.75" customHeight="1">
      <c r="A192" s="38"/>
      <c r="B192" s="55"/>
      <c r="C192" s="56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</row>
    <row r="193" ht="15.75" customHeight="1">
      <c r="A193" s="38"/>
      <c r="B193" s="55"/>
      <c r="C193" s="56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</row>
    <row r="194" ht="15.75" customHeight="1">
      <c r="A194" s="38"/>
      <c r="B194" s="55"/>
      <c r="C194" s="5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</row>
    <row r="195" ht="15.75" customHeight="1">
      <c r="A195" s="38"/>
      <c r="B195" s="55"/>
      <c r="C195" s="56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</row>
    <row r="196" ht="15.75" customHeight="1">
      <c r="A196" s="38"/>
      <c r="B196" s="55"/>
      <c r="C196" s="56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</row>
    <row r="197" ht="15.75" customHeight="1">
      <c r="A197" s="38"/>
      <c r="B197" s="55"/>
      <c r="C197" s="56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</row>
    <row r="198" ht="15.75" customHeight="1">
      <c r="A198" s="38"/>
      <c r="B198" s="55"/>
      <c r="C198" s="5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</row>
    <row r="199" ht="15.75" customHeight="1">
      <c r="A199" s="38"/>
      <c r="B199" s="55"/>
      <c r="C199" s="56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</row>
    <row r="200" ht="15.75" customHeight="1">
      <c r="A200" s="38"/>
      <c r="B200" s="55"/>
      <c r="C200" s="56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</row>
    <row r="201" ht="15.75" customHeight="1">
      <c r="A201" s="38"/>
      <c r="B201" s="55"/>
      <c r="C201" s="56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</row>
    <row r="202" ht="15.75" customHeight="1">
      <c r="A202" s="38"/>
      <c r="B202" s="55"/>
      <c r="C202" s="5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</row>
    <row r="203" ht="15.75" customHeight="1">
      <c r="A203" s="38"/>
      <c r="B203" s="55"/>
      <c r="C203" s="56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</row>
    <row r="204" ht="15.75" customHeight="1">
      <c r="A204" s="38"/>
      <c r="B204" s="55"/>
      <c r="C204" s="56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</row>
    <row r="205" ht="15.75" customHeight="1">
      <c r="A205" s="38"/>
      <c r="B205" s="55"/>
      <c r="C205" s="56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</row>
    <row r="206" ht="15.75" customHeight="1">
      <c r="A206" s="38"/>
      <c r="B206" s="55"/>
      <c r="C206" s="5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</row>
    <row r="207" ht="15.75" customHeight="1">
      <c r="A207" s="38"/>
      <c r="B207" s="55"/>
      <c r="C207" s="56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</row>
    <row r="208" ht="15.75" customHeight="1">
      <c r="A208" s="38"/>
      <c r="B208" s="55"/>
      <c r="C208" s="56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</row>
    <row r="209" ht="15.75" customHeight="1">
      <c r="A209" s="38"/>
      <c r="B209" s="55"/>
      <c r="C209" s="56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</row>
    <row r="210" ht="15.75" customHeight="1">
      <c r="A210" s="38"/>
      <c r="B210" s="55"/>
      <c r="C210" s="5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</row>
    <row r="211" ht="15.75" customHeight="1">
      <c r="A211" s="38"/>
      <c r="B211" s="55"/>
      <c r="C211" s="56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</row>
    <row r="212" ht="15.75" customHeight="1">
      <c r="A212" s="38"/>
      <c r="B212" s="55"/>
      <c r="C212" s="56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</row>
    <row r="213" ht="15.75" customHeight="1">
      <c r="A213" s="38"/>
      <c r="B213" s="55"/>
      <c r="C213" s="56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</row>
    <row r="214" ht="15.75" customHeight="1">
      <c r="A214" s="38"/>
      <c r="B214" s="55"/>
      <c r="C214" s="5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</row>
    <row r="215" ht="15.75" customHeight="1">
      <c r="A215" s="38"/>
      <c r="B215" s="55"/>
      <c r="C215" s="56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</row>
    <row r="216" ht="15.75" customHeight="1">
      <c r="A216" s="38"/>
      <c r="B216" s="55"/>
      <c r="C216" s="56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</row>
    <row r="217" ht="15.75" customHeight="1">
      <c r="A217" s="38"/>
      <c r="B217" s="55"/>
      <c r="C217" s="56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</row>
    <row r="218" ht="15.75" customHeight="1">
      <c r="A218" s="38"/>
      <c r="B218" s="55"/>
      <c r="C218" s="5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</row>
    <row r="219" ht="15.75" customHeight="1">
      <c r="A219" s="38"/>
      <c r="B219" s="55"/>
      <c r="C219" s="56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</row>
    <row r="220" ht="15.75" customHeight="1">
      <c r="A220" s="38"/>
      <c r="B220" s="55"/>
      <c r="C220" s="56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</row>
    <row r="221" ht="15.75" customHeight="1">
      <c r="A221" s="38"/>
      <c r="B221" s="55"/>
      <c r="C221" s="56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</row>
    <row r="222" ht="15.75" customHeight="1">
      <c r="A222" s="38"/>
      <c r="B222" s="55"/>
      <c r="C222" s="5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</row>
    <row r="223" ht="15.75" customHeight="1">
      <c r="A223" s="38"/>
      <c r="B223" s="55"/>
      <c r="C223" s="56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</row>
    <row r="224" ht="15.75" customHeight="1">
      <c r="A224" s="38"/>
      <c r="B224" s="55"/>
      <c r="C224" s="56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</row>
    <row r="225" ht="15.75" customHeight="1">
      <c r="A225" s="38"/>
      <c r="B225" s="55"/>
      <c r="C225" s="56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</row>
    <row r="226" ht="15.75" customHeight="1">
      <c r="A226" s="38"/>
      <c r="B226" s="55"/>
      <c r="C226" s="5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</row>
    <row r="227" ht="15.75" customHeight="1">
      <c r="A227" s="38"/>
      <c r="B227" s="55"/>
      <c r="C227" s="56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</row>
    <row r="228" ht="15.75" customHeight="1">
      <c r="A228" s="38"/>
      <c r="B228" s="55"/>
      <c r="C228" s="56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</row>
    <row r="229" ht="15.75" customHeight="1">
      <c r="A229" s="38"/>
      <c r="B229" s="55"/>
      <c r="C229" s="56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</row>
    <row r="230" ht="15.75" customHeight="1">
      <c r="A230" s="38"/>
      <c r="B230" s="55"/>
      <c r="C230" s="5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</row>
    <row r="231" ht="15.75" customHeight="1">
      <c r="A231" s="38"/>
      <c r="B231" s="55"/>
      <c r="C231" s="56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</row>
    <row r="232" ht="15.75" customHeight="1">
      <c r="A232" s="38"/>
      <c r="B232" s="55"/>
      <c r="C232" s="56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</row>
    <row r="233" ht="15.75" customHeight="1">
      <c r="A233" s="38"/>
      <c r="B233" s="38"/>
      <c r="C233" s="56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</row>
    <row r="234" ht="15.75" customHeight="1">
      <c r="A234" s="38"/>
      <c r="B234" s="38"/>
      <c r="C234" s="5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</row>
    <row r="235" ht="15.75" customHeight="1">
      <c r="A235" s="38"/>
      <c r="B235" s="38"/>
      <c r="C235" s="56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</row>
    <row r="236" ht="15.75" customHeight="1">
      <c r="A236" s="38"/>
      <c r="B236" s="38"/>
      <c r="C236" s="56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</row>
    <row r="237" ht="15.75" customHeight="1">
      <c r="A237" s="38"/>
      <c r="B237" s="38"/>
      <c r="C237" s="56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</row>
    <row r="238" ht="15.75" customHeight="1">
      <c r="A238" s="38"/>
      <c r="B238" s="38"/>
      <c r="C238" s="5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</row>
    <row r="239" ht="15.75" customHeight="1">
      <c r="A239" s="38"/>
      <c r="B239" s="38"/>
      <c r="C239" s="56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</row>
    <row r="240" ht="15.75" customHeight="1">
      <c r="A240" s="38"/>
      <c r="B240" s="38"/>
      <c r="C240" s="56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</row>
    <row r="241" ht="15.75" customHeight="1">
      <c r="A241" s="38"/>
      <c r="B241" s="38"/>
      <c r="C241" s="56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</row>
    <row r="242" ht="15.75" customHeight="1">
      <c r="A242" s="38"/>
      <c r="B242" s="38"/>
      <c r="C242" s="5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</row>
    <row r="243" ht="15.75" customHeight="1">
      <c r="A243" s="38"/>
      <c r="B243" s="38"/>
      <c r="C243" s="56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</row>
    <row r="244" ht="15.75" customHeight="1">
      <c r="A244" s="38"/>
      <c r="B244" s="38"/>
      <c r="C244" s="56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</row>
    <row r="245" ht="15.75" customHeight="1">
      <c r="A245" s="38"/>
      <c r="B245" s="38"/>
      <c r="C245" s="56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</row>
    <row r="246" ht="15.75" customHeight="1">
      <c r="A246" s="38"/>
      <c r="B246" s="38"/>
      <c r="C246" s="56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</row>
    <row r="247" ht="15.75" customHeight="1">
      <c r="A247" s="38"/>
      <c r="B247" s="38"/>
      <c r="C247" s="56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</row>
    <row r="248" ht="15.75" customHeight="1">
      <c r="A248" s="38"/>
      <c r="B248" s="38"/>
      <c r="C248" s="56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</row>
    <row r="249" ht="15.75" customHeight="1">
      <c r="A249" s="38"/>
      <c r="B249" s="38"/>
      <c r="C249" s="56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</row>
    <row r="250" ht="15.75" customHeight="1">
      <c r="A250" s="38"/>
      <c r="B250" s="38"/>
      <c r="C250" s="56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</row>
    <row r="251" ht="15.75" customHeight="1">
      <c r="A251" s="38"/>
      <c r="B251" s="38"/>
      <c r="C251" s="56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</row>
    <row r="252" ht="15.75" customHeight="1">
      <c r="A252" s="38"/>
      <c r="B252" s="38"/>
      <c r="C252" s="56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</row>
    <row r="253" ht="15.75" customHeight="1">
      <c r="A253" s="38"/>
      <c r="B253" s="38"/>
      <c r="C253" s="56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</row>
    <row r="254" ht="15.75" customHeight="1">
      <c r="A254" s="38"/>
      <c r="B254" s="38"/>
      <c r="C254" s="56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</row>
    <row r="255" ht="15.75" customHeight="1">
      <c r="A255" s="38"/>
      <c r="B255" s="38"/>
      <c r="C255" s="56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</row>
    <row r="256" ht="15.75" customHeight="1">
      <c r="A256" s="38"/>
      <c r="B256" s="38"/>
      <c r="C256" s="56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</row>
    <row r="257" ht="15.75" customHeight="1">
      <c r="A257" s="38"/>
      <c r="B257" s="38"/>
      <c r="C257" s="56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</row>
    <row r="258" ht="15.75" customHeight="1">
      <c r="A258" s="38"/>
      <c r="B258" s="38"/>
      <c r="C258" s="56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</row>
    <row r="259" ht="15.75" customHeight="1">
      <c r="A259" s="38"/>
      <c r="B259" s="38"/>
      <c r="C259" s="56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</row>
    <row r="260" ht="15.75" customHeight="1">
      <c r="A260" s="38"/>
      <c r="B260" s="38"/>
      <c r="C260" s="56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</row>
    <row r="261" ht="15.75" customHeight="1">
      <c r="A261" s="38"/>
      <c r="B261" s="38"/>
      <c r="C261" s="56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</row>
    <row r="262" ht="15.75" customHeight="1">
      <c r="A262" s="38"/>
      <c r="B262" s="38"/>
      <c r="C262" s="56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</row>
    <row r="263" ht="15.75" customHeight="1">
      <c r="A263" s="38"/>
      <c r="B263" s="38"/>
      <c r="C263" s="56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</row>
    <row r="264" ht="15.75" customHeight="1">
      <c r="A264" s="38"/>
      <c r="B264" s="38"/>
      <c r="C264" s="56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</row>
    <row r="265" ht="15.75" customHeight="1">
      <c r="A265" s="38"/>
      <c r="B265" s="38"/>
      <c r="C265" s="56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</row>
    <row r="266" ht="15.75" customHeight="1">
      <c r="A266" s="38"/>
      <c r="B266" s="38"/>
      <c r="C266" s="56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</row>
    <row r="267" ht="15.75" customHeight="1">
      <c r="A267" s="38"/>
      <c r="B267" s="38"/>
      <c r="C267" s="56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</row>
    <row r="268" ht="15.75" customHeight="1">
      <c r="A268" s="38"/>
      <c r="B268" s="38"/>
      <c r="C268" s="56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</row>
    <row r="269" ht="15.75" customHeight="1">
      <c r="A269" s="38"/>
      <c r="B269" s="38"/>
      <c r="C269" s="56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</row>
    <row r="270" ht="15.75" customHeight="1">
      <c r="A270" s="38"/>
      <c r="B270" s="38"/>
      <c r="C270" s="56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</row>
    <row r="271" ht="15.75" customHeight="1">
      <c r="A271" s="38"/>
      <c r="B271" s="38"/>
      <c r="C271" s="56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</row>
    <row r="272" ht="15.75" customHeight="1">
      <c r="A272" s="38"/>
      <c r="B272" s="38"/>
      <c r="C272" s="56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</row>
    <row r="273" ht="15.75" customHeight="1">
      <c r="A273" s="38"/>
      <c r="B273" s="38"/>
      <c r="C273" s="56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</row>
    <row r="274" ht="15.75" customHeight="1">
      <c r="A274" s="38"/>
      <c r="B274" s="38"/>
      <c r="C274" s="56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</row>
    <row r="275" ht="15.75" customHeight="1">
      <c r="A275" s="38"/>
      <c r="B275" s="38"/>
      <c r="C275" s="56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</row>
    <row r="276" ht="15.75" customHeight="1">
      <c r="A276" s="38"/>
      <c r="B276" s="38"/>
      <c r="C276" s="56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</row>
    <row r="277" ht="15.75" customHeight="1">
      <c r="A277" s="38"/>
      <c r="B277" s="38"/>
      <c r="C277" s="56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</row>
    <row r="278" ht="15.75" customHeight="1">
      <c r="A278" s="38"/>
      <c r="B278" s="38"/>
      <c r="C278" s="56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</row>
    <row r="279" ht="15.75" customHeight="1">
      <c r="A279" s="38"/>
      <c r="B279" s="38"/>
      <c r="C279" s="56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</row>
    <row r="280" ht="15.75" customHeight="1">
      <c r="A280" s="38"/>
      <c r="B280" s="38"/>
      <c r="C280" s="56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</row>
    <row r="281" ht="15.75" customHeight="1">
      <c r="A281" s="38"/>
      <c r="B281" s="38"/>
      <c r="C281" s="56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</row>
    <row r="282" ht="15.75" customHeight="1">
      <c r="A282" s="38"/>
      <c r="B282" s="38"/>
      <c r="C282" s="56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</row>
    <row r="283" ht="15.75" customHeight="1">
      <c r="A283" s="38"/>
      <c r="B283" s="38"/>
      <c r="C283" s="56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</row>
    <row r="284" ht="15.75" customHeight="1">
      <c r="A284" s="38"/>
      <c r="B284" s="38"/>
      <c r="C284" s="56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</row>
    <row r="285" ht="15.75" customHeight="1">
      <c r="A285" s="38"/>
      <c r="B285" s="38"/>
      <c r="C285" s="56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</row>
    <row r="286" ht="15.75" customHeight="1">
      <c r="A286" s="38"/>
      <c r="B286" s="38"/>
      <c r="C286" s="56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</row>
    <row r="287" ht="15.75" customHeight="1">
      <c r="A287" s="38"/>
      <c r="B287" s="38"/>
      <c r="C287" s="56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</row>
    <row r="288" ht="15.75" customHeight="1">
      <c r="A288" s="38"/>
      <c r="B288" s="38"/>
      <c r="C288" s="56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</row>
    <row r="289" ht="15.75" customHeight="1">
      <c r="A289" s="38"/>
      <c r="B289" s="38"/>
      <c r="C289" s="56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</row>
    <row r="290" ht="15.75" customHeight="1">
      <c r="A290" s="38"/>
      <c r="B290" s="38"/>
      <c r="C290" s="56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</row>
    <row r="291" ht="15.75" customHeight="1">
      <c r="A291" s="38"/>
      <c r="B291" s="38"/>
      <c r="C291" s="56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</row>
    <row r="292" ht="15.75" customHeight="1">
      <c r="A292" s="38"/>
      <c r="B292" s="38"/>
      <c r="C292" s="56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</row>
    <row r="293" ht="15.75" customHeight="1">
      <c r="A293" s="38"/>
      <c r="B293" s="38"/>
      <c r="C293" s="56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</row>
    <row r="294" ht="15.75" customHeight="1">
      <c r="A294" s="38"/>
      <c r="B294" s="38"/>
      <c r="C294" s="56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</row>
    <row r="295" ht="15.75" customHeight="1">
      <c r="A295" s="38"/>
      <c r="B295" s="38"/>
      <c r="C295" s="56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</row>
    <row r="296" ht="15.75" customHeight="1">
      <c r="A296" s="38"/>
      <c r="B296" s="38"/>
      <c r="C296" s="56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</row>
    <row r="297" ht="15.75" customHeight="1">
      <c r="A297" s="38"/>
      <c r="B297" s="38"/>
      <c r="C297" s="56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</row>
    <row r="298" ht="15.75" customHeight="1">
      <c r="A298" s="38"/>
      <c r="B298" s="38"/>
      <c r="C298" s="56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</row>
    <row r="299" ht="15.75" customHeight="1">
      <c r="A299" s="38"/>
      <c r="B299" s="38"/>
      <c r="C299" s="56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</row>
    <row r="300" ht="15.75" customHeight="1">
      <c r="A300" s="38"/>
      <c r="B300" s="38"/>
      <c r="C300" s="56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</row>
    <row r="301" ht="15.75" customHeight="1">
      <c r="A301" s="38"/>
      <c r="B301" s="38"/>
      <c r="C301" s="56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</row>
    <row r="302" ht="15.75" customHeight="1">
      <c r="A302" s="38"/>
      <c r="B302" s="38"/>
      <c r="C302" s="56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</row>
    <row r="303" ht="15.75" customHeight="1">
      <c r="A303" s="38"/>
      <c r="B303" s="38"/>
      <c r="C303" s="56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</row>
    <row r="304" ht="15.75" customHeight="1">
      <c r="A304" s="38"/>
      <c r="B304" s="38"/>
      <c r="C304" s="56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</row>
    <row r="305" ht="15.75" customHeight="1">
      <c r="A305" s="38"/>
      <c r="B305" s="38"/>
      <c r="C305" s="56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</row>
    <row r="306" ht="15.75" customHeight="1">
      <c r="A306" s="38"/>
      <c r="B306" s="38"/>
      <c r="C306" s="56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</row>
    <row r="307" ht="15.75" customHeight="1">
      <c r="A307" s="38"/>
      <c r="B307" s="38"/>
      <c r="C307" s="56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</row>
    <row r="308" ht="15.75" customHeight="1">
      <c r="A308" s="38"/>
      <c r="B308" s="38"/>
      <c r="C308" s="56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</row>
    <row r="309" ht="15.75" customHeight="1">
      <c r="A309" s="38"/>
      <c r="B309" s="38"/>
      <c r="C309" s="56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</row>
    <row r="310" ht="15.75" customHeight="1">
      <c r="A310" s="38"/>
      <c r="B310" s="38"/>
      <c r="C310" s="56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</row>
    <row r="311" ht="15.75" customHeight="1">
      <c r="A311" s="38"/>
      <c r="B311" s="38"/>
      <c r="C311" s="56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</row>
    <row r="312" ht="15.75" customHeight="1">
      <c r="A312" s="38"/>
      <c r="B312" s="38"/>
      <c r="C312" s="56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</row>
    <row r="313" ht="15.75" customHeight="1">
      <c r="A313" s="38"/>
      <c r="B313" s="38"/>
      <c r="C313" s="56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</row>
    <row r="314" ht="15.75" customHeight="1">
      <c r="A314" s="38"/>
      <c r="B314" s="38"/>
      <c r="C314" s="56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</row>
    <row r="315" ht="15.75" customHeight="1">
      <c r="A315" s="38"/>
      <c r="B315" s="38"/>
      <c r="C315" s="56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</row>
    <row r="316" ht="15.75" customHeight="1">
      <c r="A316" s="38"/>
      <c r="B316" s="38"/>
      <c r="C316" s="56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</row>
    <row r="317" ht="15.75" customHeight="1">
      <c r="A317" s="38"/>
      <c r="B317" s="38"/>
      <c r="C317" s="56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</row>
    <row r="318" ht="15.75" customHeight="1">
      <c r="A318" s="38"/>
      <c r="B318" s="38"/>
      <c r="C318" s="56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</row>
    <row r="319" ht="15.75" customHeight="1">
      <c r="A319" s="38"/>
      <c r="B319" s="38"/>
      <c r="C319" s="56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</row>
    <row r="320" ht="15.75" customHeight="1">
      <c r="A320" s="38"/>
      <c r="B320" s="38"/>
      <c r="C320" s="56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</row>
    <row r="321" ht="15.75" customHeight="1">
      <c r="A321" s="38"/>
      <c r="B321" s="38"/>
      <c r="C321" s="56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</row>
    <row r="322" ht="15.75" customHeight="1">
      <c r="A322" s="38"/>
      <c r="B322" s="38"/>
      <c r="C322" s="56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</row>
    <row r="323" ht="15.75" customHeight="1">
      <c r="A323" s="38"/>
      <c r="B323" s="38"/>
      <c r="C323" s="56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</row>
    <row r="324" ht="15.75" customHeight="1">
      <c r="A324" s="38"/>
      <c r="B324" s="38"/>
      <c r="C324" s="56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</row>
    <row r="325" ht="15.75" customHeight="1">
      <c r="A325" s="38"/>
      <c r="B325" s="38"/>
      <c r="C325" s="56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</row>
    <row r="326" ht="15.75" customHeight="1">
      <c r="A326" s="38"/>
      <c r="B326" s="38"/>
      <c r="C326" s="56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</row>
    <row r="327" ht="15.75" customHeight="1">
      <c r="A327" s="38"/>
      <c r="B327" s="38"/>
      <c r="C327" s="56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</row>
    <row r="328" ht="15.75" customHeight="1">
      <c r="A328" s="38"/>
      <c r="B328" s="38"/>
      <c r="C328" s="56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</row>
    <row r="329" ht="15.75" customHeight="1">
      <c r="A329" s="38"/>
      <c r="B329" s="38"/>
      <c r="C329" s="56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</row>
    <row r="330" ht="15.75" customHeight="1">
      <c r="A330" s="38"/>
      <c r="B330" s="38"/>
      <c r="C330" s="56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</row>
    <row r="331" ht="15.75" customHeight="1">
      <c r="A331" s="38"/>
      <c r="B331" s="38"/>
      <c r="C331" s="56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</row>
    <row r="332" ht="15.75" customHeight="1">
      <c r="A332" s="38"/>
      <c r="B332" s="38"/>
      <c r="C332" s="56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</row>
    <row r="333" ht="15.75" customHeight="1">
      <c r="A333" s="38"/>
      <c r="B333" s="38"/>
      <c r="C333" s="56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</row>
    <row r="334" ht="15.75" customHeight="1">
      <c r="A334" s="38"/>
      <c r="B334" s="38"/>
      <c r="C334" s="56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</row>
    <row r="335" ht="15.75" customHeight="1">
      <c r="A335" s="38"/>
      <c r="B335" s="38"/>
      <c r="C335" s="56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</row>
    <row r="336" ht="15.75" customHeight="1">
      <c r="A336" s="38"/>
      <c r="B336" s="38"/>
      <c r="C336" s="56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</row>
    <row r="337" ht="15.75" customHeight="1">
      <c r="A337" s="38"/>
      <c r="B337" s="38"/>
      <c r="C337" s="56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</row>
    <row r="338" ht="15.75" customHeight="1">
      <c r="A338" s="38"/>
      <c r="B338" s="38"/>
      <c r="C338" s="56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</row>
    <row r="339" ht="15.75" customHeight="1">
      <c r="A339" s="38"/>
      <c r="B339" s="38"/>
      <c r="C339" s="56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</row>
    <row r="340" ht="15.75" customHeight="1">
      <c r="A340" s="38"/>
      <c r="B340" s="38"/>
      <c r="C340" s="56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</row>
    <row r="341" ht="15.75" customHeight="1">
      <c r="A341" s="38"/>
      <c r="B341" s="38"/>
      <c r="C341" s="56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</row>
    <row r="342" ht="15.75" customHeight="1">
      <c r="A342" s="38"/>
      <c r="B342" s="38"/>
      <c r="C342" s="56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</row>
    <row r="343" ht="15.75" customHeight="1">
      <c r="A343" s="38"/>
      <c r="B343" s="38"/>
      <c r="C343" s="56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</row>
    <row r="344" ht="15.75" customHeight="1">
      <c r="A344" s="38"/>
      <c r="B344" s="38"/>
      <c r="C344" s="56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</row>
    <row r="345" ht="15.75" customHeight="1">
      <c r="A345" s="38"/>
      <c r="B345" s="38"/>
      <c r="C345" s="56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</row>
    <row r="346" ht="15.75" customHeight="1">
      <c r="A346" s="38"/>
      <c r="B346" s="38"/>
      <c r="C346" s="56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</row>
    <row r="347" ht="15.75" customHeight="1">
      <c r="A347" s="38"/>
      <c r="B347" s="38"/>
      <c r="C347" s="56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</row>
    <row r="348" ht="15.75" customHeight="1">
      <c r="A348" s="38"/>
      <c r="B348" s="38"/>
      <c r="C348" s="56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</row>
    <row r="349" ht="15.75" customHeight="1">
      <c r="A349" s="38"/>
      <c r="B349" s="38"/>
      <c r="C349" s="56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</row>
    <row r="350" ht="15.75" customHeight="1">
      <c r="A350" s="38"/>
      <c r="B350" s="38"/>
      <c r="C350" s="56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</row>
    <row r="351" ht="15.75" customHeight="1">
      <c r="A351" s="38"/>
      <c r="B351" s="38"/>
      <c r="C351" s="56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</row>
    <row r="352" ht="15.75" customHeight="1">
      <c r="A352" s="38"/>
      <c r="B352" s="38"/>
      <c r="C352" s="56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</row>
    <row r="353" ht="15.75" customHeight="1">
      <c r="A353" s="38"/>
      <c r="B353" s="38"/>
      <c r="C353" s="56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</row>
    <row r="354" ht="15.75" customHeight="1">
      <c r="A354" s="38"/>
      <c r="B354" s="38"/>
      <c r="C354" s="56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</row>
    <row r="355" ht="15.75" customHeight="1">
      <c r="A355" s="38"/>
      <c r="B355" s="38"/>
      <c r="C355" s="56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</row>
    <row r="356" ht="15.75" customHeight="1">
      <c r="A356" s="38"/>
      <c r="B356" s="38"/>
      <c r="C356" s="56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</row>
    <row r="357" ht="15.75" customHeight="1">
      <c r="A357" s="38"/>
      <c r="B357" s="38"/>
      <c r="C357" s="56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</row>
    <row r="358" ht="15.75" customHeight="1">
      <c r="A358" s="38"/>
      <c r="B358" s="38"/>
      <c r="C358" s="56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</row>
    <row r="359" ht="15.75" customHeight="1">
      <c r="A359" s="38"/>
      <c r="B359" s="38"/>
      <c r="C359" s="56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</row>
    <row r="360" ht="15.75" customHeight="1">
      <c r="A360" s="38"/>
      <c r="B360" s="38"/>
      <c r="C360" s="56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</row>
    <row r="361" ht="15.75" customHeight="1">
      <c r="A361" s="38"/>
      <c r="B361" s="38"/>
      <c r="C361" s="56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</row>
    <row r="362" ht="15.75" customHeight="1">
      <c r="A362" s="38"/>
      <c r="B362" s="38"/>
      <c r="C362" s="56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</row>
    <row r="363" ht="15.75" customHeight="1">
      <c r="A363" s="38"/>
      <c r="B363" s="38"/>
      <c r="C363" s="56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</row>
    <row r="364" ht="15.75" customHeight="1">
      <c r="A364" s="38"/>
      <c r="B364" s="38"/>
      <c r="C364" s="56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</row>
    <row r="365" ht="15.75" customHeight="1">
      <c r="A365" s="38"/>
      <c r="B365" s="38"/>
      <c r="C365" s="56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</row>
    <row r="366" ht="15.75" customHeight="1">
      <c r="A366" s="38"/>
      <c r="B366" s="38"/>
      <c r="C366" s="56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</row>
    <row r="367" ht="15.75" customHeight="1">
      <c r="A367" s="38"/>
      <c r="B367" s="38"/>
      <c r="C367" s="56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</row>
    <row r="368" ht="15.75" customHeight="1">
      <c r="A368" s="38"/>
      <c r="B368" s="38"/>
      <c r="C368" s="56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</row>
    <row r="369" ht="15.75" customHeight="1">
      <c r="A369" s="38"/>
      <c r="B369" s="38"/>
      <c r="C369" s="56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</row>
    <row r="370" ht="15.75" customHeight="1">
      <c r="A370" s="38"/>
      <c r="B370" s="38"/>
      <c r="C370" s="56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</row>
    <row r="371" ht="15.75" customHeight="1">
      <c r="A371" s="38"/>
      <c r="B371" s="38"/>
      <c r="C371" s="56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</row>
    <row r="372" ht="15.75" customHeight="1">
      <c r="A372" s="38"/>
      <c r="B372" s="38"/>
      <c r="C372" s="56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</row>
    <row r="373" ht="15.75" customHeight="1">
      <c r="A373" s="38"/>
      <c r="B373" s="38"/>
      <c r="C373" s="56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</row>
    <row r="374" ht="15.75" customHeight="1">
      <c r="A374" s="38"/>
      <c r="B374" s="38"/>
      <c r="C374" s="56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</row>
    <row r="375" ht="15.75" customHeight="1">
      <c r="A375" s="38"/>
      <c r="B375" s="38"/>
      <c r="C375" s="56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</row>
    <row r="376" ht="15.75" customHeight="1">
      <c r="A376" s="38"/>
      <c r="B376" s="38"/>
      <c r="C376" s="56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</row>
    <row r="377" ht="15.75" customHeight="1">
      <c r="A377" s="38"/>
      <c r="B377" s="38"/>
      <c r="C377" s="56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</row>
    <row r="378" ht="15.75" customHeight="1">
      <c r="A378" s="38"/>
      <c r="B378" s="38"/>
      <c r="C378" s="56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</row>
    <row r="379" ht="15.75" customHeight="1">
      <c r="A379" s="38"/>
      <c r="B379" s="38"/>
      <c r="C379" s="56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</row>
    <row r="380" ht="15.75" customHeight="1">
      <c r="A380" s="38"/>
      <c r="B380" s="38"/>
      <c r="C380" s="56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</row>
    <row r="381" ht="15.75" customHeight="1">
      <c r="A381" s="38"/>
      <c r="B381" s="38"/>
      <c r="C381" s="56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</row>
    <row r="382" ht="15.75" customHeight="1">
      <c r="A382" s="38"/>
      <c r="B382" s="38"/>
      <c r="C382" s="56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</row>
    <row r="383" ht="15.75" customHeight="1">
      <c r="A383" s="38"/>
      <c r="B383" s="38"/>
      <c r="C383" s="56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</row>
    <row r="384" ht="15.75" customHeight="1">
      <c r="A384" s="38"/>
      <c r="B384" s="38"/>
      <c r="C384" s="56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</row>
    <row r="385" ht="15.75" customHeight="1">
      <c r="A385" s="38"/>
      <c r="B385" s="38"/>
      <c r="C385" s="56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</row>
    <row r="386" ht="15.75" customHeight="1">
      <c r="A386" s="38"/>
      <c r="B386" s="38"/>
      <c r="C386" s="56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</row>
    <row r="387" ht="15.75" customHeight="1">
      <c r="A387" s="38"/>
      <c r="B387" s="38"/>
      <c r="C387" s="56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</row>
    <row r="388" ht="15.75" customHeight="1">
      <c r="A388" s="38"/>
      <c r="B388" s="38"/>
      <c r="C388" s="56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</row>
    <row r="389" ht="15.75" customHeight="1">
      <c r="A389" s="38"/>
      <c r="B389" s="38"/>
      <c r="C389" s="56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</row>
    <row r="390" ht="15.75" customHeight="1">
      <c r="A390" s="38"/>
      <c r="B390" s="38"/>
      <c r="C390" s="56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</row>
    <row r="391" ht="15.75" customHeight="1">
      <c r="A391" s="38"/>
      <c r="B391" s="38"/>
      <c r="C391" s="56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</row>
    <row r="392" ht="15.75" customHeight="1">
      <c r="A392" s="38"/>
      <c r="B392" s="38"/>
      <c r="C392" s="56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</row>
    <row r="393" ht="15.75" customHeight="1">
      <c r="A393" s="38"/>
      <c r="B393" s="38"/>
      <c r="C393" s="56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</row>
    <row r="394" ht="15.75" customHeight="1">
      <c r="A394" s="38"/>
      <c r="B394" s="38"/>
      <c r="C394" s="56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</row>
    <row r="395" ht="15.75" customHeight="1">
      <c r="A395" s="38"/>
      <c r="B395" s="38"/>
      <c r="C395" s="56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</row>
    <row r="396" ht="15.75" customHeight="1">
      <c r="A396" s="38"/>
      <c r="B396" s="38"/>
      <c r="C396" s="56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</row>
    <row r="397" ht="15.75" customHeight="1">
      <c r="A397" s="38"/>
      <c r="B397" s="38"/>
      <c r="C397" s="56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</row>
    <row r="398" ht="15.75" customHeight="1">
      <c r="A398" s="38"/>
      <c r="B398" s="38"/>
      <c r="C398" s="56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</row>
    <row r="399" ht="15.75" customHeight="1">
      <c r="A399" s="38"/>
      <c r="B399" s="38"/>
      <c r="C399" s="56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</row>
    <row r="400" ht="15.75" customHeight="1">
      <c r="A400" s="38"/>
      <c r="B400" s="38"/>
      <c r="C400" s="56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</row>
    <row r="401" ht="15.75" customHeight="1">
      <c r="A401" s="38"/>
      <c r="B401" s="38"/>
      <c r="C401" s="56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</row>
    <row r="402" ht="15.75" customHeight="1">
      <c r="A402" s="38"/>
      <c r="B402" s="38"/>
      <c r="C402" s="56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</row>
    <row r="403" ht="15.75" customHeight="1">
      <c r="A403" s="38"/>
      <c r="B403" s="38"/>
      <c r="C403" s="56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</row>
    <row r="404" ht="15.75" customHeight="1">
      <c r="A404" s="38"/>
      <c r="B404" s="38"/>
      <c r="C404" s="56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</row>
    <row r="405" ht="15.75" customHeight="1">
      <c r="A405" s="38"/>
      <c r="B405" s="38"/>
      <c r="C405" s="56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</row>
    <row r="406" ht="15.75" customHeight="1">
      <c r="A406" s="38"/>
      <c r="B406" s="38"/>
      <c r="C406" s="56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</row>
    <row r="407" ht="15.75" customHeight="1">
      <c r="A407" s="38"/>
      <c r="B407" s="38"/>
      <c r="C407" s="56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</row>
    <row r="408" ht="15.75" customHeight="1">
      <c r="A408" s="38"/>
      <c r="B408" s="38"/>
      <c r="C408" s="56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</row>
    <row r="409" ht="15.75" customHeight="1">
      <c r="A409" s="38"/>
      <c r="B409" s="38"/>
      <c r="C409" s="56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</row>
    <row r="410" ht="15.75" customHeight="1">
      <c r="A410" s="38"/>
      <c r="B410" s="38"/>
      <c r="C410" s="56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</row>
    <row r="411" ht="15.75" customHeight="1">
      <c r="A411" s="38"/>
      <c r="B411" s="38"/>
      <c r="C411" s="56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</row>
    <row r="412" ht="15.75" customHeight="1">
      <c r="A412" s="38"/>
      <c r="B412" s="38"/>
      <c r="C412" s="56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</row>
    <row r="413" ht="15.75" customHeight="1">
      <c r="A413" s="38"/>
      <c r="B413" s="38"/>
      <c r="C413" s="56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</row>
    <row r="414" ht="15.75" customHeight="1">
      <c r="A414" s="38"/>
      <c r="B414" s="38"/>
      <c r="C414" s="56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</row>
    <row r="415" ht="15.75" customHeight="1">
      <c r="A415" s="38"/>
      <c r="B415" s="38"/>
      <c r="C415" s="56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</row>
    <row r="416" ht="15.75" customHeight="1">
      <c r="A416" s="38"/>
      <c r="B416" s="38"/>
      <c r="C416" s="56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</row>
    <row r="417" ht="15.75" customHeight="1">
      <c r="A417" s="38"/>
      <c r="B417" s="38"/>
      <c r="C417" s="56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</row>
    <row r="418" ht="15.75" customHeight="1">
      <c r="A418" s="38"/>
      <c r="B418" s="38"/>
      <c r="C418" s="56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</row>
    <row r="419" ht="15.75" customHeight="1">
      <c r="A419" s="38"/>
      <c r="B419" s="38"/>
      <c r="C419" s="56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</row>
    <row r="420" ht="15.75" customHeight="1">
      <c r="A420" s="38"/>
      <c r="B420" s="38"/>
      <c r="C420" s="56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</row>
    <row r="421" ht="15.75" customHeight="1">
      <c r="A421" s="38"/>
      <c r="B421" s="38"/>
      <c r="C421" s="56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</row>
    <row r="422" ht="15.75" customHeight="1">
      <c r="A422" s="38"/>
      <c r="B422" s="38"/>
      <c r="C422" s="56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</row>
    <row r="423" ht="15.75" customHeight="1">
      <c r="A423" s="38"/>
      <c r="B423" s="38"/>
      <c r="C423" s="56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</row>
    <row r="424" ht="15.75" customHeight="1">
      <c r="A424" s="38"/>
      <c r="B424" s="38"/>
      <c r="C424" s="56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</row>
    <row r="425" ht="15.75" customHeight="1">
      <c r="A425" s="38"/>
      <c r="B425" s="38"/>
      <c r="C425" s="56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</row>
    <row r="426" ht="15.75" customHeight="1">
      <c r="A426" s="38"/>
      <c r="B426" s="38"/>
      <c r="C426" s="56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</row>
    <row r="427" ht="15.75" customHeight="1">
      <c r="A427" s="38"/>
      <c r="B427" s="38"/>
      <c r="C427" s="56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</row>
    <row r="428" ht="15.75" customHeight="1">
      <c r="A428" s="38"/>
      <c r="B428" s="38"/>
      <c r="C428" s="56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</row>
    <row r="429" ht="15.75" customHeight="1">
      <c r="A429" s="38"/>
      <c r="B429" s="38"/>
      <c r="C429" s="56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</row>
    <row r="430" ht="15.75" customHeight="1">
      <c r="A430" s="38"/>
      <c r="B430" s="38"/>
      <c r="C430" s="56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</row>
    <row r="431" ht="15.75" customHeight="1">
      <c r="A431" s="38"/>
      <c r="B431" s="38"/>
      <c r="C431" s="56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</row>
    <row r="432" ht="15.75" customHeight="1">
      <c r="A432" s="38"/>
      <c r="B432" s="38"/>
      <c r="C432" s="56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</row>
    <row r="433" ht="15.75" customHeight="1">
      <c r="A433" s="38"/>
      <c r="B433" s="38"/>
      <c r="C433" s="56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</row>
    <row r="434" ht="15.75" customHeight="1">
      <c r="A434" s="38"/>
      <c r="B434" s="38"/>
      <c r="C434" s="56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</row>
    <row r="435" ht="15.75" customHeight="1">
      <c r="A435" s="38"/>
      <c r="B435" s="38"/>
      <c r="C435" s="56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</row>
    <row r="436" ht="15.75" customHeight="1">
      <c r="A436" s="38"/>
      <c r="B436" s="38"/>
      <c r="C436" s="56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</row>
    <row r="437" ht="15.75" customHeight="1">
      <c r="A437" s="38"/>
      <c r="B437" s="38"/>
      <c r="C437" s="56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</row>
    <row r="438" ht="15.75" customHeight="1">
      <c r="A438" s="38"/>
      <c r="B438" s="38"/>
      <c r="C438" s="56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</row>
    <row r="439" ht="15.75" customHeight="1">
      <c r="A439" s="38"/>
      <c r="B439" s="38"/>
      <c r="C439" s="56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</row>
    <row r="440" ht="15.75" customHeight="1">
      <c r="A440" s="38"/>
      <c r="B440" s="38"/>
      <c r="C440" s="56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</row>
    <row r="441" ht="15.75" customHeight="1">
      <c r="A441" s="38"/>
      <c r="B441" s="38"/>
      <c r="C441" s="56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</row>
    <row r="442" ht="15.75" customHeight="1">
      <c r="A442" s="38"/>
      <c r="B442" s="38"/>
      <c r="C442" s="56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</row>
    <row r="443" ht="15.75" customHeight="1">
      <c r="A443" s="38"/>
      <c r="B443" s="38"/>
      <c r="C443" s="56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</row>
    <row r="444" ht="15.75" customHeight="1">
      <c r="A444" s="38"/>
      <c r="B444" s="38"/>
      <c r="C444" s="56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</row>
    <row r="445" ht="15.75" customHeight="1">
      <c r="A445" s="38"/>
      <c r="B445" s="38"/>
      <c r="C445" s="56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</row>
    <row r="446" ht="15.75" customHeight="1">
      <c r="A446" s="38"/>
      <c r="B446" s="38"/>
      <c r="C446" s="56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</row>
    <row r="447" ht="15.75" customHeight="1">
      <c r="A447" s="38"/>
      <c r="B447" s="38"/>
      <c r="C447" s="56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</row>
    <row r="448" ht="15.75" customHeight="1">
      <c r="A448" s="38"/>
      <c r="B448" s="38"/>
      <c r="C448" s="56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</row>
    <row r="449" ht="15.75" customHeight="1">
      <c r="A449" s="38"/>
      <c r="B449" s="38"/>
      <c r="C449" s="56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</row>
    <row r="450" ht="15.75" customHeight="1">
      <c r="A450" s="38"/>
      <c r="B450" s="38"/>
      <c r="C450" s="56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</row>
    <row r="451" ht="15.75" customHeight="1">
      <c r="A451" s="38"/>
      <c r="B451" s="38"/>
      <c r="C451" s="56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</row>
    <row r="452" ht="15.75" customHeight="1">
      <c r="A452" s="38"/>
      <c r="B452" s="38"/>
      <c r="C452" s="56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</row>
    <row r="453" ht="15.75" customHeight="1">
      <c r="A453" s="38"/>
      <c r="B453" s="38"/>
      <c r="C453" s="56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</row>
    <row r="454" ht="15.75" customHeight="1">
      <c r="A454" s="38"/>
      <c r="B454" s="38"/>
      <c r="C454" s="56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</row>
    <row r="455" ht="15.75" customHeight="1">
      <c r="A455" s="38"/>
      <c r="B455" s="38"/>
      <c r="C455" s="56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</row>
    <row r="456" ht="15.75" customHeight="1">
      <c r="A456" s="38"/>
      <c r="B456" s="38"/>
      <c r="C456" s="56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</row>
    <row r="457" ht="15.75" customHeight="1">
      <c r="A457" s="38"/>
      <c r="B457" s="38"/>
      <c r="C457" s="56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</row>
    <row r="458" ht="15.75" customHeight="1">
      <c r="A458" s="38"/>
      <c r="B458" s="38"/>
      <c r="C458" s="56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</row>
    <row r="459" ht="15.75" customHeight="1">
      <c r="A459" s="38"/>
      <c r="B459" s="38"/>
      <c r="C459" s="56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</row>
    <row r="460" ht="15.75" customHeight="1">
      <c r="A460" s="38"/>
      <c r="B460" s="38"/>
      <c r="C460" s="56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</row>
    <row r="461" ht="15.75" customHeight="1">
      <c r="A461" s="38"/>
      <c r="B461" s="38"/>
      <c r="C461" s="56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</row>
    <row r="462" ht="15.75" customHeight="1">
      <c r="A462" s="38"/>
      <c r="B462" s="38"/>
      <c r="C462" s="56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</row>
    <row r="463" ht="15.75" customHeight="1">
      <c r="A463" s="38"/>
      <c r="B463" s="38"/>
      <c r="C463" s="56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</row>
    <row r="464" ht="15.75" customHeight="1">
      <c r="A464" s="38"/>
      <c r="B464" s="38"/>
      <c r="C464" s="56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</row>
    <row r="465" ht="15.75" customHeight="1">
      <c r="A465" s="38"/>
      <c r="B465" s="38"/>
      <c r="C465" s="56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</row>
    <row r="466" ht="15.75" customHeight="1">
      <c r="A466" s="38"/>
      <c r="B466" s="38"/>
      <c r="C466" s="56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</row>
    <row r="467" ht="15.75" customHeight="1">
      <c r="A467" s="38"/>
      <c r="B467" s="38"/>
      <c r="C467" s="56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</row>
    <row r="468" ht="15.75" customHeight="1">
      <c r="A468" s="38"/>
      <c r="B468" s="38"/>
      <c r="C468" s="56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</row>
    <row r="469" ht="15.75" customHeight="1">
      <c r="A469" s="38"/>
      <c r="B469" s="38"/>
      <c r="C469" s="56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</row>
    <row r="470" ht="15.75" customHeight="1">
      <c r="A470" s="38"/>
      <c r="B470" s="38"/>
      <c r="C470" s="56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</row>
    <row r="471" ht="15.75" customHeight="1">
      <c r="A471" s="38"/>
      <c r="B471" s="38"/>
      <c r="C471" s="56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</row>
    <row r="472" ht="15.75" customHeight="1">
      <c r="A472" s="38"/>
      <c r="B472" s="38"/>
      <c r="C472" s="56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</row>
    <row r="473" ht="15.75" customHeight="1">
      <c r="A473" s="38"/>
      <c r="B473" s="38"/>
      <c r="C473" s="56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</row>
    <row r="474" ht="15.75" customHeight="1">
      <c r="A474" s="38"/>
      <c r="B474" s="38"/>
      <c r="C474" s="56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</row>
    <row r="475" ht="15.75" customHeight="1">
      <c r="A475" s="38"/>
      <c r="B475" s="38"/>
      <c r="C475" s="56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</row>
    <row r="476" ht="15.75" customHeight="1">
      <c r="A476" s="38"/>
      <c r="B476" s="38"/>
      <c r="C476" s="56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</row>
    <row r="477" ht="15.75" customHeight="1">
      <c r="A477" s="38"/>
      <c r="B477" s="38"/>
      <c r="C477" s="56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</row>
    <row r="478" ht="15.75" customHeight="1">
      <c r="A478" s="38"/>
      <c r="B478" s="38"/>
      <c r="C478" s="56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</row>
    <row r="479" ht="15.75" customHeight="1">
      <c r="A479" s="38"/>
      <c r="B479" s="38"/>
      <c r="C479" s="56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</row>
    <row r="480" ht="15.75" customHeight="1">
      <c r="A480" s="38"/>
      <c r="B480" s="38"/>
      <c r="C480" s="56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</row>
    <row r="481" ht="15.75" customHeight="1">
      <c r="A481" s="38"/>
      <c r="B481" s="38"/>
      <c r="C481" s="56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</row>
    <row r="482" ht="15.75" customHeight="1">
      <c r="A482" s="38"/>
      <c r="B482" s="38"/>
      <c r="C482" s="56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</row>
    <row r="483" ht="15.75" customHeight="1">
      <c r="A483" s="38"/>
      <c r="B483" s="38"/>
      <c r="C483" s="56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</row>
    <row r="484" ht="15.75" customHeight="1">
      <c r="A484" s="38"/>
      <c r="B484" s="38"/>
      <c r="C484" s="56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</row>
    <row r="485" ht="15.75" customHeight="1">
      <c r="A485" s="38"/>
      <c r="B485" s="38"/>
      <c r="C485" s="56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</row>
    <row r="486" ht="15.75" customHeight="1">
      <c r="A486" s="38"/>
      <c r="B486" s="38"/>
      <c r="C486" s="56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</row>
    <row r="487" ht="15.75" customHeight="1">
      <c r="A487" s="38"/>
      <c r="B487" s="38"/>
      <c r="C487" s="56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</row>
    <row r="488" ht="15.75" customHeight="1">
      <c r="A488" s="38"/>
      <c r="B488" s="38"/>
      <c r="C488" s="56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</row>
    <row r="489" ht="15.75" customHeight="1">
      <c r="A489" s="38"/>
      <c r="B489" s="38"/>
      <c r="C489" s="56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</row>
    <row r="490" ht="15.75" customHeight="1">
      <c r="A490" s="38"/>
      <c r="B490" s="38"/>
      <c r="C490" s="56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</row>
    <row r="491" ht="15.75" customHeight="1">
      <c r="A491" s="38"/>
      <c r="B491" s="38"/>
      <c r="C491" s="56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</row>
    <row r="492" ht="15.75" customHeight="1">
      <c r="A492" s="38"/>
      <c r="B492" s="38"/>
      <c r="C492" s="56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</row>
    <row r="493" ht="15.75" customHeight="1">
      <c r="A493" s="38"/>
      <c r="B493" s="38"/>
      <c r="C493" s="56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</row>
    <row r="494" ht="15.75" customHeight="1">
      <c r="A494" s="38"/>
      <c r="B494" s="38"/>
      <c r="C494" s="56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</row>
    <row r="495" ht="15.75" customHeight="1">
      <c r="A495" s="38"/>
      <c r="B495" s="38"/>
      <c r="C495" s="56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</row>
    <row r="496" ht="15.75" customHeight="1">
      <c r="A496" s="38"/>
      <c r="B496" s="38"/>
      <c r="C496" s="56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</row>
    <row r="497" ht="15.75" customHeight="1">
      <c r="A497" s="38"/>
      <c r="B497" s="38"/>
      <c r="C497" s="56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</row>
    <row r="498" ht="15.75" customHeight="1">
      <c r="A498" s="38"/>
      <c r="B498" s="38"/>
      <c r="C498" s="56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</row>
    <row r="499" ht="15.75" customHeight="1">
      <c r="A499" s="38"/>
      <c r="B499" s="38"/>
      <c r="C499" s="56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</row>
    <row r="500" ht="15.75" customHeight="1">
      <c r="A500" s="38"/>
      <c r="B500" s="38"/>
      <c r="C500" s="56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</row>
    <row r="501" ht="15.75" customHeight="1">
      <c r="A501" s="38"/>
      <c r="B501" s="38"/>
      <c r="C501" s="56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</row>
    <row r="502" ht="15.75" customHeight="1">
      <c r="A502" s="38"/>
      <c r="B502" s="38"/>
      <c r="C502" s="56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</row>
    <row r="503" ht="15.75" customHeight="1">
      <c r="A503" s="38"/>
      <c r="B503" s="38"/>
      <c r="C503" s="56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</row>
    <row r="504" ht="15.75" customHeight="1">
      <c r="A504" s="38"/>
      <c r="B504" s="38"/>
      <c r="C504" s="56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</row>
    <row r="505" ht="15.75" customHeight="1">
      <c r="A505" s="38"/>
      <c r="B505" s="38"/>
      <c r="C505" s="56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</row>
    <row r="506" ht="15.75" customHeight="1">
      <c r="A506" s="38"/>
      <c r="B506" s="38"/>
      <c r="C506" s="56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</row>
    <row r="507" ht="15.75" customHeight="1">
      <c r="A507" s="38"/>
      <c r="B507" s="38"/>
      <c r="C507" s="56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</row>
    <row r="508" ht="15.75" customHeight="1">
      <c r="A508" s="38"/>
      <c r="B508" s="38"/>
      <c r="C508" s="56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</row>
    <row r="509" ht="15.75" customHeight="1">
      <c r="A509" s="38"/>
      <c r="B509" s="38"/>
      <c r="C509" s="56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</row>
    <row r="510" ht="15.75" customHeight="1">
      <c r="A510" s="38"/>
      <c r="B510" s="38"/>
      <c r="C510" s="56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</row>
    <row r="511" ht="15.75" customHeight="1">
      <c r="A511" s="38"/>
      <c r="B511" s="38"/>
      <c r="C511" s="56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</row>
    <row r="512" ht="15.75" customHeight="1">
      <c r="A512" s="38"/>
      <c r="B512" s="38"/>
      <c r="C512" s="56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</row>
    <row r="513" ht="15.75" customHeight="1">
      <c r="A513" s="38"/>
      <c r="B513" s="38"/>
      <c r="C513" s="56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</row>
    <row r="514" ht="15.75" customHeight="1">
      <c r="A514" s="38"/>
      <c r="B514" s="38"/>
      <c r="C514" s="56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</row>
    <row r="515" ht="15.75" customHeight="1">
      <c r="A515" s="38"/>
      <c r="B515" s="38"/>
      <c r="C515" s="56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</row>
    <row r="516" ht="15.75" customHeight="1">
      <c r="A516" s="38"/>
      <c r="B516" s="38"/>
      <c r="C516" s="56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</row>
    <row r="517" ht="15.75" customHeight="1">
      <c r="A517" s="38"/>
      <c r="B517" s="38"/>
      <c r="C517" s="56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</row>
    <row r="518" ht="15.75" customHeight="1">
      <c r="A518" s="38"/>
      <c r="B518" s="38"/>
      <c r="C518" s="56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</row>
    <row r="519" ht="15.75" customHeight="1">
      <c r="A519" s="38"/>
      <c r="B519" s="38"/>
      <c r="C519" s="56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</row>
    <row r="520" ht="15.75" customHeight="1">
      <c r="A520" s="38"/>
      <c r="B520" s="38"/>
      <c r="C520" s="56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</row>
    <row r="521" ht="15.75" customHeight="1">
      <c r="A521" s="38"/>
      <c r="B521" s="38"/>
      <c r="C521" s="56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</row>
    <row r="522" ht="15.75" customHeight="1">
      <c r="A522" s="38"/>
      <c r="B522" s="38"/>
      <c r="C522" s="56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</row>
    <row r="523" ht="15.75" customHeight="1">
      <c r="A523" s="38"/>
      <c r="B523" s="38"/>
      <c r="C523" s="56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</row>
    <row r="524" ht="15.75" customHeight="1">
      <c r="A524" s="38"/>
      <c r="B524" s="38"/>
      <c r="C524" s="56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</row>
    <row r="525" ht="15.75" customHeight="1">
      <c r="A525" s="38"/>
      <c r="B525" s="38"/>
      <c r="C525" s="56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</row>
    <row r="526" ht="15.75" customHeight="1">
      <c r="A526" s="38"/>
      <c r="B526" s="38"/>
      <c r="C526" s="56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</row>
    <row r="527" ht="15.75" customHeight="1">
      <c r="A527" s="38"/>
      <c r="B527" s="38"/>
      <c r="C527" s="56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</row>
    <row r="528" ht="15.75" customHeight="1">
      <c r="A528" s="38"/>
      <c r="B528" s="38"/>
      <c r="C528" s="56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</row>
    <row r="529" ht="15.75" customHeight="1">
      <c r="A529" s="38"/>
      <c r="B529" s="38"/>
      <c r="C529" s="56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</row>
    <row r="530" ht="15.75" customHeight="1">
      <c r="A530" s="38"/>
      <c r="B530" s="38"/>
      <c r="C530" s="56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</row>
    <row r="531" ht="15.75" customHeight="1">
      <c r="A531" s="38"/>
      <c r="B531" s="38"/>
      <c r="C531" s="56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</row>
    <row r="532" ht="15.75" customHeight="1">
      <c r="A532" s="38"/>
      <c r="B532" s="38"/>
      <c r="C532" s="56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</row>
    <row r="533" ht="15.75" customHeight="1">
      <c r="A533" s="38"/>
      <c r="B533" s="38"/>
      <c r="C533" s="56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</row>
    <row r="534" ht="15.75" customHeight="1">
      <c r="A534" s="38"/>
      <c r="B534" s="38"/>
      <c r="C534" s="56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</row>
    <row r="535" ht="15.75" customHeight="1">
      <c r="A535" s="38"/>
      <c r="B535" s="38"/>
      <c r="C535" s="56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</row>
    <row r="536" ht="15.75" customHeight="1">
      <c r="A536" s="38"/>
      <c r="B536" s="38"/>
      <c r="C536" s="56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</row>
    <row r="537" ht="15.75" customHeight="1">
      <c r="A537" s="38"/>
      <c r="B537" s="38"/>
      <c r="C537" s="56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</row>
    <row r="538" ht="15.75" customHeight="1">
      <c r="A538" s="38"/>
      <c r="B538" s="38"/>
      <c r="C538" s="56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</row>
    <row r="539" ht="15.75" customHeight="1">
      <c r="A539" s="38"/>
      <c r="B539" s="38"/>
      <c r="C539" s="56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</row>
    <row r="540" ht="15.75" customHeight="1">
      <c r="A540" s="38"/>
      <c r="B540" s="38"/>
      <c r="C540" s="56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</row>
    <row r="541" ht="15.75" customHeight="1">
      <c r="A541" s="38"/>
      <c r="B541" s="38"/>
      <c r="C541" s="56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</row>
    <row r="542" ht="15.75" customHeight="1">
      <c r="A542" s="38"/>
      <c r="B542" s="38"/>
      <c r="C542" s="56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</row>
    <row r="543" ht="15.75" customHeight="1">
      <c r="A543" s="38"/>
      <c r="B543" s="38"/>
      <c r="C543" s="56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</row>
    <row r="544" ht="15.75" customHeight="1">
      <c r="A544" s="38"/>
      <c r="B544" s="38"/>
      <c r="C544" s="56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</row>
    <row r="545" ht="15.75" customHeight="1">
      <c r="A545" s="38"/>
      <c r="B545" s="38"/>
      <c r="C545" s="56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</row>
    <row r="546" ht="15.75" customHeight="1">
      <c r="A546" s="38"/>
      <c r="B546" s="38"/>
      <c r="C546" s="56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</row>
    <row r="547" ht="15.75" customHeight="1">
      <c r="A547" s="38"/>
      <c r="B547" s="38"/>
      <c r="C547" s="56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</row>
    <row r="548" ht="15.75" customHeight="1">
      <c r="A548" s="38"/>
      <c r="B548" s="38"/>
      <c r="C548" s="56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</row>
    <row r="549" ht="15.75" customHeight="1">
      <c r="A549" s="38"/>
      <c r="B549" s="38"/>
      <c r="C549" s="56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</row>
    <row r="550" ht="15.75" customHeight="1">
      <c r="A550" s="38"/>
      <c r="B550" s="38"/>
      <c r="C550" s="56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</row>
    <row r="551" ht="15.75" customHeight="1">
      <c r="A551" s="38"/>
      <c r="B551" s="38"/>
      <c r="C551" s="56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</row>
    <row r="552" ht="15.75" customHeight="1">
      <c r="A552" s="38"/>
      <c r="B552" s="38"/>
      <c r="C552" s="56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</row>
    <row r="553" ht="15.75" customHeight="1">
      <c r="A553" s="38"/>
      <c r="B553" s="38"/>
      <c r="C553" s="56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</row>
    <row r="554" ht="15.75" customHeight="1">
      <c r="A554" s="38"/>
      <c r="B554" s="38"/>
      <c r="C554" s="56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</row>
    <row r="555" ht="15.75" customHeight="1">
      <c r="A555" s="38"/>
      <c r="B555" s="38"/>
      <c r="C555" s="56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</row>
    <row r="556" ht="15.75" customHeight="1">
      <c r="A556" s="38"/>
      <c r="B556" s="38"/>
      <c r="C556" s="56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</row>
    <row r="557" ht="15.75" customHeight="1">
      <c r="A557" s="38"/>
      <c r="B557" s="38"/>
      <c r="C557" s="56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</row>
    <row r="558" ht="15.75" customHeight="1">
      <c r="A558" s="38"/>
      <c r="B558" s="38"/>
      <c r="C558" s="56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</row>
    <row r="559" ht="15.75" customHeight="1">
      <c r="A559" s="38"/>
      <c r="B559" s="38"/>
      <c r="C559" s="56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</row>
    <row r="560" ht="15.75" customHeight="1">
      <c r="A560" s="38"/>
      <c r="B560" s="38"/>
      <c r="C560" s="56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</row>
    <row r="561" ht="15.75" customHeight="1">
      <c r="A561" s="38"/>
      <c r="B561" s="38"/>
      <c r="C561" s="56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</row>
    <row r="562" ht="15.75" customHeight="1">
      <c r="A562" s="38"/>
      <c r="B562" s="38"/>
      <c r="C562" s="56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</row>
    <row r="563" ht="15.75" customHeight="1">
      <c r="A563" s="38"/>
      <c r="B563" s="38"/>
      <c r="C563" s="56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</row>
    <row r="564" ht="15.75" customHeight="1">
      <c r="A564" s="38"/>
      <c r="B564" s="38"/>
      <c r="C564" s="56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</row>
    <row r="565" ht="15.75" customHeight="1">
      <c r="A565" s="38"/>
      <c r="B565" s="38"/>
      <c r="C565" s="56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</row>
    <row r="566" ht="15.75" customHeight="1">
      <c r="A566" s="38"/>
      <c r="B566" s="38"/>
      <c r="C566" s="56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</row>
    <row r="567" ht="15.75" customHeight="1">
      <c r="A567" s="38"/>
      <c r="B567" s="38"/>
      <c r="C567" s="56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</row>
    <row r="568" ht="15.75" customHeight="1">
      <c r="A568" s="38"/>
      <c r="B568" s="38"/>
      <c r="C568" s="56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</row>
    <row r="569" ht="15.75" customHeight="1">
      <c r="A569" s="38"/>
      <c r="B569" s="38"/>
      <c r="C569" s="56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</row>
    <row r="570" ht="15.75" customHeight="1">
      <c r="A570" s="38"/>
      <c r="B570" s="38"/>
      <c r="C570" s="56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</row>
    <row r="571" ht="15.75" customHeight="1">
      <c r="A571" s="38"/>
      <c r="B571" s="38"/>
      <c r="C571" s="56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</row>
    <row r="572" ht="15.75" customHeight="1">
      <c r="A572" s="38"/>
      <c r="B572" s="38"/>
      <c r="C572" s="56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</row>
    <row r="573" ht="15.75" customHeight="1">
      <c r="A573" s="38"/>
      <c r="B573" s="38"/>
      <c r="C573" s="56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</row>
    <row r="574" ht="15.75" customHeight="1">
      <c r="A574" s="38"/>
      <c r="B574" s="38"/>
      <c r="C574" s="56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</row>
    <row r="575" ht="15.75" customHeight="1">
      <c r="A575" s="38"/>
      <c r="B575" s="38"/>
      <c r="C575" s="56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</row>
    <row r="576" ht="15.75" customHeight="1">
      <c r="A576" s="38"/>
      <c r="B576" s="38"/>
      <c r="C576" s="56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</row>
    <row r="577" ht="15.75" customHeight="1">
      <c r="A577" s="38"/>
      <c r="B577" s="38"/>
      <c r="C577" s="56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</row>
    <row r="578" ht="15.75" customHeight="1">
      <c r="A578" s="38"/>
      <c r="B578" s="38"/>
      <c r="C578" s="56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</row>
    <row r="579" ht="15.75" customHeight="1">
      <c r="A579" s="38"/>
      <c r="B579" s="38"/>
      <c r="C579" s="56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</row>
    <row r="580" ht="15.75" customHeight="1">
      <c r="A580" s="38"/>
      <c r="B580" s="38"/>
      <c r="C580" s="56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</row>
    <row r="581" ht="15.75" customHeight="1">
      <c r="A581" s="38"/>
      <c r="B581" s="38"/>
      <c r="C581" s="56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</row>
    <row r="582" ht="15.75" customHeight="1">
      <c r="A582" s="38"/>
      <c r="B582" s="38"/>
      <c r="C582" s="56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</row>
    <row r="583" ht="15.75" customHeight="1">
      <c r="A583" s="38"/>
      <c r="B583" s="38"/>
      <c r="C583" s="56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</row>
    <row r="584" ht="15.75" customHeight="1">
      <c r="A584" s="38"/>
      <c r="B584" s="38"/>
      <c r="C584" s="56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</row>
    <row r="585" ht="15.75" customHeight="1">
      <c r="A585" s="38"/>
      <c r="B585" s="38"/>
      <c r="C585" s="56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</row>
    <row r="586" ht="15.75" customHeight="1">
      <c r="A586" s="38"/>
      <c r="B586" s="38"/>
      <c r="C586" s="56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</row>
    <row r="587" ht="15.75" customHeight="1">
      <c r="A587" s="38"/>
      <c r="B587" s="38"/>
      <c r="C587" s="56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</row>
    <row r="588" ht="15.75" customHeight="1">
      <c r="A588" s="38"/>
      <c r="B588" s="38"/>
      <c r="C588" s="56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</row>
    <row r="589" ht="15.75" customHeight="1">
      <c r="A589" s="38"/>
      <c r="B589" s="38"/>
      <c r="C589" s="56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</row>
    <row r="590" ht="15.75" customHeight="1">
      <c r="A590" s="38"/>
      <c r="B590" s="38"/>
      <c r="C590" s="56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</row>
    <row r="591" ht="15.75" customHeight="1">
      <c r="A591" s="38"/>
      <c r="B591" s="38"/>
      <c r="C591" s="56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</row>
    <row r="592" ht="15.75" customHeight="1">
      <c r="A592" s="38"/>
      <c r="B592" s="38"/>
      <c r="C592" s="56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</row>
    <row r="593" ht="15.75" customHeight="1">
      <c r="A593" s="38"/>
      <c r="B593" s="38"/>
      <c r="C593" s="56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</row>
    <row r="594" ht="15.75" customHeight="1">
      <c r="A594" s="38"/>
      <c r="B594" s="38"/>
      <c r="C594" s="56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</row>
    <row r="595" ht="15.75" customHeight="1">
      <c r="A595" s="38"/>
      <c r="B595" s="38"/>
      <c r="C595" s="56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</row>
    <row r="596" ht="15.75" customHeight="1">
      <c r="A596" s="38"/>
      <c r="B596" s="38"/>
      <c r="C596" s="56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</row>
    <row r="597" ht="15.75" customHeight="1">
      <c r="A597" s="38"/>
      <c r="B597" s="38"/>
      <c r="C597" s="56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</row>
    <row r="598" ht="15.75" customHeight="1">
      <c r="A598" s="38"/>
      <c r="B598" s="38"/>
      <c r="C598" s="56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</row>
    <row r="599" ht="15.75" customHeight="1">
      <c r="A599" s="38"/>
      <c r="B599" s="38"/>
      <c r="C599" s="56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</row>
    <row r="600" ht="15.75" customHeight="1">
      <c r="A600" s="38"/>
      <c r="B600" s="38"/>
      <c r="C600" s="56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</row>
    <row r="601" ht="15.75" customHeight="1">
      <c r="A601" s="38"/>
      <c r="B601" s="38"/>
      <c r="C601" s="56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</row>
    <row r="602" ht="15.75" customHeight="1">
      <c r="A602" s="38"/>
      <c r="B602" s="38"/>
      <c r="C602" s="56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</row>
    <row r="603" ht="15.75" customHeight="1">
      <c r="A603" s="38"/>
      <c r="B603" s="38"/>
      <c r="C603" s="56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</row>
    <row r="604" ht="15.75" customHeight="1">
      <c r="A604" s="38"/>
      <c r="B604" s="38"/>
      <c r="C604" s="56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</row>
    <row r="605" ht="15.75" customHeight="1">
      <c r="A605" s="38"/>
      <c r="B605" s="38"/>
      <c r="C605" s="56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</row>
    <row r="606" ht="15.75" customHeight="1">
      <c r="A606" s="38"/>
      <c r="B606" s="38"/>
      <c r="C606" s="56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</row>
    <row r="607" ht="15.75" customHeight="1">
      <c r="A607" s="38"/>
      <c r="B607" s="38"/>
      <c r="C607" s="56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</row>
    <row r="608" ht="15.75" customHeight="1">
      <c r="A608" s="38"/>
      <c r="B608" s="38"/>
      <c r="C608" s="56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</row>
    <row r="609" ht="15.75" customHeight="1">
      <c r="A609" s="38"/>
      <c r="B609" s="38"/>
      <c r="C609" s="56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</row>
    <row r="610" ht="15.75" customHeight="1">
      <c r="A610" s="38"/>
      <c r="B610" s="38"/>
      <c r="C610" s="56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</row>
    <row r="611" ht="15.75" customHeight="1">
      <c r="A611" s="38"/>
      <c r="B611" s="38"/>
      <c r="C611" s="56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</row>
    <row r="612" ht="15.75" customHeight="1">
      <c r="A612" s="38"/>
      <c r="B612" s="38"/>
      <c r="C612" s="56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</row>
    <row r="613" ht="15.75" customHeight="1">
      <c r="A613" s="38"/>
      <c r="B613" s="38"/>
      <c r="C613" s="56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</row>
    <row r="614" ht="15.75" customHeight="1">
      <c r="A614" s="38"/>
      <c r="B614" s="38"/>
      <c r="C614" s="56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</row>
    <row r="615" ht="15.75" customHeight="1">
      <c r="A615" s="38"/>
      <c r="B615" s="38"/>
      <c r="C615" s="56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</row>
    <row r="616" ht="15.75" customHeight="1">
      <c r="A616" s="38"/>
      <c r="B616" s="38"/>
      <c r="C616" s="56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</row>
    <row r="617" ht="15.75" customHeight="1">
      <c r="A617" s="38"/>
      <c r="B617" s="38"/>
      <c r="C617" s="56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</row>
    <row r="618" ht="15.75" customHeight="1">
      <c r="A618" s="38"/>
      <c r="B618" s="38"/>
      <c r="C618" s="56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</row>
    <row r="619" ht="15.75" customHeight="1">
      <c r="A619" s="38"/>
      <c r="B619" s="38"/>
      <c r="C619" s="56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</row>
    <row r="620" ht="15.75" customHeight="1">
      <c r="A620" s="38"/>
      <c r="B620" s="38"/>
      <c r="C620" s="56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</row>
    <row r="621" ht="15.75" customHeight="1">
      <c r="A621" s="38"/>
      <c r="B621" s="38"/>
      <c r="C621" s="56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</row>
    <row r="622" ht="15.75" customHeight="1">
      <c r="A622" s="38"/>
      <c r="B622" s="38"/>
      <c r="C622" s="56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</row>
    <row r="623" ht="15.75" customHeight="1">
      <c r="A623" s="38"/>
      <c r="B623" s="38"/>
      <c r="C623" s="56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</row>
    <row r="624" ht="15.75" customHeight="1">
      <c r="A624" s="38"/>
      <c r="B624" s="38"/>
      <c r="C624" s="56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</row>
    <row r="625" ht="15.75" customHeight="1">
      <c r="A625" s="38"/>
      <c r="B625" s="38"/>
      <c r="C625" s="56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</row>
    <row r="626" ht="15.75" customHeight="1">
      <c r="A626" s="38"/>
      <c r="B626" s="38"/>
      <c r="C626" s="56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</row>
    <row r="627" ht="15.75" customHeight="1">
      <c r="A627" s="38"/>
      <c r="B627" s="38"/>
      <c r="C627" s="56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</row>
    <row r="628" ht="15.75" customHeight="1">
      <c r="A628" s="38"/>
      <c r="B628" s="38"/>
      <c r="C628" s="56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</row>
    <row r="629" ht="15.75" customHeight="1">
      <c r="A629" s="38"/>
      <c r="B629" s="38"/>
      <c r="C629" s="56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</row>
    <row r="630" ht="15.75" customHeight="1">
      <c r="A630" s="38"/>
      <c r="B630" s="38"/>
      <c r="C630" s="56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</row>
    <row r="631" ht="15.75" customHeight="1">
      <c r="A631" s="38"/>
      <c r="B631" s="38"/>
      <c r="C631" s="56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</row>
    <row r="632" ht="15.75" customHeight="1">
      <c r="A632" s="38"/>
      <c r="B632" s="38"/>
      <c r="C632" s="56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</row>
    <row r="633" ht="15.75" customHeight="1">
      <c r="A633" s="38"/>
      <c r="B633" s="38"/>
      <c r="C633" s="56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</row>
    <row r="634" ht="15.75" customHeight="1">
      <c r="A634" s="38"/>
      <c r="B634" s="38"/>
      <c r="C634" s="56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</row>
    <row r="635" ht="15.75" customHeight="1">
      <c r="A635" s="38"/>
      <c r="B635" s="38"/>
      <c r="C635" s="56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</row>
    <row r="636" ht="15.75" customHeight="1">
      <c r="A636" s="38"/>
      <c r="B636" s="38"/>
      <c r="C636" s="56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</row>
    <row r="637" ht="15.75" customHeight="1">
      <c r="A637" s="38"/>
      <c r="B637" s="38"/>
      <c r="C637" s="56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</row>
    <row r="638" ht="15.75" customHeight="1">
      <c r="A638" s="38"/>
      <c r="B638" s="38"/>
      <c r="C638" s="56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</row>
    <row r="639" ht="15.75" customHeight="1">
      <c r="A639" s="38"/>
      <c r="B639" s="38"/>
      <c r="C639" s="56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</row>
    <row r="640" ht="15.75" customHeight="1">
      <c r="A640" s="38"/>
      <c r="B640" s="38"/>
      <c r="C640" s="56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</row>
    <row r="641" ht="15.75" customHeight="1">
      <c r="A641" s="38"/>
      <c r="B641" s="38"/>
      <c r="C641" s="56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</row>
    <row r="642" ht="15.75" customHeight="1">
      <c r="A642" s="38"/>
      <c r="B642" s="38"/>
      <c r="C642" s="56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</row>
    <row r="643" ht="15.75" customHeight="1">
      <c r="A643" s="38"/>
      <c r="B643" s="38"/>
      <c r="C643" s="56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</row>
    <row r="644" ht="15.75" customHeight="1">
      <c r="A644" s="38"/>
      <c r="B644" s="38"/>
      <c r="C644" s="56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</row>
    <row r="645" ht="15.75" customHeight="1">
      <c r="A645" s="38"/>
      <c r="B645" s="38"/>
      <c r="C645" s="56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</row>
    <row r="646" ht="15.75" customHeight="1">
      <c r="A646" s="38"/>
      <c r="B646" s="38"/>
      <c r="C646" s="56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</row>
    <row r="647" ht="15.75" customHeight="1">
      <c r="A647" s="38"/>
      <c r="B647" s="38"/>
      <c r="C647" s="56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</row>
    <row r="648" ht="15.75" customHeight="1">
      <c r="A648" s="38"/>
      <c r="B648" s="38"/>
      <c r="C648" s="56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</row>
    <row r="649" ht="15.75" customHeight="1">
      <c r="A649" s="38"/>
      <c r="B649" s="38"/>
      <c r="C649" s="56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</row>
    <row r="650" ht="15.75" customHeight="1">
      <c r="A650" s="38"/>
      <c r="B650" s="38"/>
      <c r="C650" s="56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</row>
    <row r="651" ht="15.75" customHeight="1">
      <c r="A651" s="38"/>
      <c r="B651" s="38"/>
      <c r="C651" s="56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</row>
    <row r="652" ht="15.75" customHeight="1">
      <c r="A652" s="38"/>
      <c r="B652" s="38"/>
      <c r="C652" s="56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</row>
    <row r="653" ht="15.75" customHeight="1">
      <c r="A653" s="38"/>
      <c r="B653" s="38"/>
      <c r="C653" s="56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</row>
    <row r="654" ht="15.75" customHeight="1">
      <c r="A654" s="38"/>
      <c r="B654" s="38"/>
      <c r="C654" s="56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</row>
    <row r="655" ht="15.75" customHeight="1">
      <c r="A655" s="38"/>
      <c r="B655" s="38"/>
      <c r="C655" s="56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</row>
    <row r="656" ht="15.75" customHeight="1">
      <c r="A656" s="38"/>
      <c r="B656" s="38"/>
      <c r="C656" s="56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</row>
    <row r="657" ht="15.75" customHeight="1">
      <c r="A657" s="38"/>
      <c r="B657" s="38"/>
      <c r="C657" s="56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</row>
    <row r="658" ht="15.75" customHeight="1">
      <c r="A658" s="38"/>
      <c r="B658" s="38"/>
      <c r="C658" s="56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</row>
    <row r="659" ht="15.75" customHeight="1">
      <c r="A659" s="38"/>
      <c r="B659" s="38"/>
      <c r="C659" s="56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</row>
    <row r="660" ht="15.75" customHeight="1">
      <c r="A660" s="38"/>
      <c r="B660" s="38"/>
      <c r="C660" s="56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</row>
    <row r="661" ht="15.75" customHeight="1">
      <c r="A661" s="38"/>
      <c r="B661" s="38"/>
      <c r="C661" s="56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</row>
    <row r="662" ht="15.75" customHeight="1">
      <c r="A662" s="38"/>
      <c r="B662" s="38"/>
      <c r="C662" s="56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</row>
    <row r="663" ht="15.75" customHeight="1">
      <c r="A663" s="38"/>
      <c r="B663" s="38"/>
      <c r="C663" s="56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</row>
    <row r="664" ht="15.75" customHeight="1">
      <c r="A664" s="38"/>
      <c r="B664" s="38"/>
      <c r="C664" s="56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</row>
    <row r="665" ht="15.75" customHeight="1">
      <c r="A665" s="38"/>
      <c r="B665" s="38"/>
      <c r="C665" s="56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</row>
    <row r="666" ht="15.75" customHeight="1">
      <c r="A666" s="38"/>
      <c r="B666" s="38"/>
      <c r="C666" s="56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</row>
    <row r="667" ht="15.75" customHeight="1">
      <c r="A667" s="38"/>
      <c r="B667" s="38"/>
      <c r="C667" s="56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</row>
    <row r="668" ht="15.75" customHeight="1">
      <c r="A668" s="38"/>
      <c r="B668" s="38"/>
      <c r="C668" s="56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</row>
    <row r="669" ht="15.75" customHeight="1">
      <c r="A669" s="38"/>
      <c r="B669" s="38"/>
      <c r="C669" s="56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</row>
    <row r="670" ht="15.75" customHeight="1">
      <c r="A670" s="38"/>
      <c r="B670" s="38"/>
      <c r="C670" s="56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</row>
    <row r="671" ht="15.75" customHeight="1">
      <c r="A671" s="38"/>
      <c r="B671" s="38"/>
      <c r="C671" s="56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</row>
    <row r="672" ht="15.75" customHeight="1">
      <c r="A672" s="38"/>
      <c r="B672" s="38"/>
      <c r="C672" s="56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</row>
    <row r="673" ht="15.75" customHeight="1">
      <c r="A673" s="38"/>
      <c r="B673" s="38"/>
      <c r="C673" s="56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</row>
    <row r="674" ht="15.75" customHeight="1">
      <c r="A674" s="38"/>
      <c r="B674" s="38"/>
      <c r="C674" s="56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</row>
    <row r="675" ht="15.75" customHeight="1">
      <c r="A675" s="38"/>
      <c r="B675" s="38"/>
      <c r="C675" s="56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</row>
    <row r="676" ht="15.75" customHeight="1">
      <c r="A676" s="38"/>
      <c r="B676" s="38"/>
      <c r="C676" s="56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</row>
    <row r="677" ht="15.75" customHeight="1">
      <c r="A677" s="38"/>
      <c r="B677" s="38"/>
      <c r="C677" s="56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</row>
    <row r="678" ht="15.75" customHeight="1">
      <c r="A678" s="38"/>
      <c r="B678" s="38"/>
      <c r="C678" s="56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</row>
    <row r="679" ht="15.75" customHeight="1">
      <c r="A679" s="38"/>
      <c r="B679" s="38"/>
      <c r="C679" s="56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</row>
    <row r="680" ht="15.75" customHeight="1">
      <c r="A680" s="38"/>
      <c r="B680" s="38"/>
      <c r="C680" s="56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</row>
    <row r="681" ht="15.75" customHeight="1">
      <c r="A681" s="38"/>
      <c r="B681" s="38"/>
      <c r="C681" s="56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</row>
    <row r="682" ht="15.75" customHeight="1">
      <c r="A682" s="38"/>
      <c r="B682" s="38"/>
      <c r="C682" s="56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</row>
    <row r="683" ht="15.75" customHeight="1">
      <c r="A683" s="38"/>
      <c r="B683" s="38"/>
      <c r="C683" s="56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</row>
    <row r="684" ht="15.75" customHeight="1">
      <c r="A684" s="38"/>
      <c r="B684" s="38"/>
      <c r="C684" s="56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</row>
    <row r="685" ht="15.75" customHeight="1">
      <c r="A685" s="38"/>
      <c r="B685" s="38"/>
      <c r="C685" s="56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</row>
    <row r="686" ht="15.75" customHeight="1">
      <c r="A686" s="38"/>
      <c r="B686" s="38"/>
      <c r="C686" s="56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</row>
    <row r="687" ht="15.75" customHeight="1">
      <c r="A687" s="38"/>
      <c r="B687" s="38"/>
      <c r="C687" s="56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</row>
    <row r="688" ht="15.75" customHeight="1">
      <c r="A688" s="38"/>
      <c r="B688" s="38"/>
      <c r="C688" s="56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</row>
    <row r="689" ht="15.75" customHeight="1">
      <c r="A689" s="38"/>
      <c r="B689" s="38"/>
      <c r="C689" s="56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</row>
    <row r="690" ht="15.75" customHeight="1">
      <c r="A690" s="38"/>
      <c r="B690" s="38"/>
      <c r="C690" s="56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</row>
    <row r="691" ht="15.75" customHeight="1">
      <c r="A691" s="38"/>
      <c r="B691" s="38"/>
      <c r="C691" s="56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</row>
    <row r="692" ht="15.75" customHeight="1">
      <c r="A692" s="38"/>
      <c r="B692" s="38"/>
      <c r="C692" s="56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</row>
    <row r="693" ht="15.75" customHeight="1">
      <c r="A693" s="38"/>
      <c r="B693" s="38"/>
      <c r="C693" s="56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</row>
    <row r="694" ht="15.75" customHeight="1">
      <c r="A694" s="38"/>
      <c r="B694" s="38"/>
      <c r="C694" s="56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</row>
    <row r="695" ht="15.75" customHeight="1">
      <c r="A695" s="38"/>
      <c r="B695" s="38"/>
      <c r="C695" s="56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</row>
    <row r="696" ht="15.75" customHeight="1">
      <c r="A696" s="38"/>
      <c r="B696" s="38"/>
      <c r="C696" s="56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</row>
    <row r="697" ht="15.75" customHeight="1">
      <c r="A697" s="38"/>
      <c r="B697" s="38"/>
      <c r="C697" s="56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</row>
    <row r="698" ht="15.75" customHeight="1">
      <c r="A698" s="38"/>
      <c r="B698" s="38"/>
      <c r="C698" s="56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</row>
    <row r="699" ht="15.75" customHeight="1">
      <c r="A699" s="38"/>
      <c r="B699" s="38"/>
      <c r="C699" s="56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</row>
    <row r="700" ht="15.75" customHeight="1">
      <c r="A700" s="38"/>
      <c r="B700" s="38"/>
      <c r="C700" s="56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</row>
    <row r="701" ht="15.75" customHeight="1">
      <c r="A701" s="38"/>
      <c r="B701" s="38"/>
      <c r="C701" s="56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</row>
    <row r="702" ht="15.75" customHeight="1">
      <c r="A702" s="38"/>
      <c r="B702" s="38"/>
      <c r="C702" s="56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</row>
    <row r="703" ht="15.75" customHeight="1">
      <c r="A703" s="38"/>
      <c r="B703" s="38"/>
      <c r="C703" s="56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</row>
    <row r="704" ht="15.75" customHeight="1">
      <c r="A704" s="38"/>
      <c r="B704" s="38"/>
      <c r="C704" s="56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</row>
    <row r="705" ht="15.75" customHeight="1">
      <c r="A705" s="38"/>
      <c r="B705" s="38"/>
      <c r="C705" s="56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</row>
    <row r="706" ht="15.75" customHeight="1">
      <c r="A706" s="38"/>
      <c r="B706" s="38"/>
      <c r="C706" s="56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</row>
    <row r="707" ht="15.75" customHeight="1">
      <c r="A707" s="38"/>
      <c r="B707" s="38"/>
      <c r="C707" s="56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</row>
    <row r="708" ht="15.75" customHeight="1">
      <c r="A708" s="38"/>
      <c r="B708" s="38"/>
      <c r="C708" s="56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</row>
    <row r="709" ht="15.75" customHeight="1">
      <c r="A709" s="38"/>
      <c r="B709" s="38"/>
      <c r="C709" s="56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</row>
    <row r="710" ht="15.75" customHeight="1">
      <c r="A710" s="38"/>
      <c r="B710" s="38"/>
      <c r="C710" s="56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</row>
    <row r="711" ht="15.75" customHeight="1">
      <c r="A711" s="38"/>
      <c r="B711" s="38"/>
      <c r="C711" s="56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</row>
    <row r="712" ht="15.75" customHeight="1">
      <c r="A712" s="38"/>
      <c r="B712" s="38"/>
      <c r="C712" s="56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</row>
    <row r="713" ht="15.75" customHeight="1">
      <c r="A713" s="38"/>
      <c r="B713" s="38"/>
      <c r="C713" s="56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</row>
    <row r="714" ht="15.75" customHeight="1">
      <c r="A714" s="38"/>
      <c r="B714" s="38"/>
      <c r="C714" s="56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</row>
    <row r="715" ht="15.75" customHeight="1">
      <c r="A715" s="38"/>
      <c r="B715" s="38"/>
      <c r="C715" s="56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</row>
    <row r="716" ht="15.75" customHeight="1">
      <c r="A716" s="38"/>
      <c r="B716" s="38"/>
      <c r="C716" s="56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</row>
    <row r="717" ht="15.75" customHeight="1">
      <c r="A717" s="38"/>
      <c r="B717" s="38"/>
      <c r="C717" s="56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</row>
    <row r="718" ht="15.75" customHeight="1">
      <c r="A718" s="38"/>
      <c r="B718" s="38"/>
      <c r="C718" s="56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</row>
    <row r="719" ht="15.75" customHeight="1">
      <c r="A719" s="38"/>
      <c r="B719" s="38"/>
      <c r="C719" s="56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</row>
    <row r="720" ht="15.75" customHeight="1">
      <c r="A720" s="38"/>
      <c r="B720" s="38"/>
      <c r="C720" s="56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</row>
    <row r="721" ht="15.75" customHeight="1">
      <c r="A721" s="38"/>
      <c r="B721" s="38"/>
      <c r="C721" s="56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</row>
    <row r="722" ht="15.75" customHeight="1">
      <c r="A722" s="38"/>
      <c r="B722" s="38"/>
      <c r="C722" s="56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</row>
    <row r="723" ht="15.75" customHeight="1">
      <c r="A723" s="38"/>
      <c r="B723" s="38"/>
      <c r="C723" s="56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</row>
    <row r="724" ht="15.75" customHeight="1">
      <c r="A724" s="38"/>
      <c r="B724" s="38"/>
      <c r="C724" s="56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</row>
    <row r="725" ht="15.75" customHeight="1">
      <c r="A725" s="38"/>
      <c r="B725" s="38"/>
      <c r="C725" s="56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</row>
    <row r="726" ht="15.75" customHeight="1">
      <c r="A726" s="38"/>
      <c r="B726" s="38"/>
      <c r="C726" s="56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</row>
    <row r="727" ht="15.75" customHeight="1">
      <c r="A727" s="38"/>
      <c r="B727" s="38"/>
      <c r="C727" s="56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</row>
    <row r="728" ht="15.75" customHeight="1">
      <c r="A728" s="38"/>
      <c r="B728" s="38"/>
      <c r="C728" s="56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</row>
    <row r="729" ht="15.75" customHeight="1">
      <c r="A729" s="38"/>
      <c r="B729" s="38"/>
      <c r="C729" s="56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</row>
    <row r="730" ht="15.75" customHeight="1">
      <c r="A730" s="38"/>
      <c r="B730" s="38"/>
      <c r="C730" s="56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</row>
    <row r="731" ht="15.75" customHeight="1">
      <c r="A731" s="38"/>
      <c r="B731" s="38"/>
      <c r="C731" s="56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</row>
    <row r="732" ht="15.75" customHeight="1">
      <c r="A732" s="38"/>
      <c r="B732" s="38"/>
      <c r="C732" s="56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</row>
    <row r="733" ht="15.75" customHeight="1">
      <c r="A733" s="38"/>
      <c r="B733" s="38"/>
      <c r="C733" s="56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</row>
    <row r="734" ht="15.75" customHeight="1">
      <c r="A734" s="38"/>
      <c r="B734" s="38"/>
      <c r="C734" s="56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</row>
    <row r="735" ht="15.75" customHeight="1">
      <c r="A735" s="38"/>
      <c r="B735" s="38"/>
      <c r="C735" s="56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</row>
    <row r="736" ht="15.75" customHeight="1">
      <c r="A736" s="38"/>
      <c r="B736" s="38"/>
      <c r="C736" s="56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</row>
    <row r="737" ht="15.75" customHeight="1">
      <c r="A737" s="38"/>
      <c r="B737" s="38"/>
      <c r="C737" s="56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</row>
    <row r="738" ht="15.75" customHeight="1">
      <c r="A738" s="38"/>
      <c r="B738" s="38"/>
      <c r="C738" s="56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</row>
    <row r="739" ht="15.75" customHeight="1">
      <c r="A739" s="38"/>
      <c r="B739" s="38"/>
      <c r="C739" s="56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</row>
    <row r="740" ht="15.75" customHeight="1">
      <c r="A740" s="38"/>
      <c r="B740" s="38"/>
      <c r="C740" s="56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</row>
    <row r="741" ht="15.75" customHeight="1">
      <c r="A741" s="38"/>
      <c r="B741" s="38"/>
      <c r="C741" s="56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</row>
    <row r="742" ht="15.75" customHeight="1">
      <c r="A742" s="38"/>
      <c r="B742" s="38"/>
      <c r="C742" s="56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</row>
    <row r="743" ht="15.75" customHeight="1">
      <c r="A743" s="38"/>
      <c r="B743" s="38"/>
      <c r="C743" s="56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</row>
    <row r="744" ht="15.75" customHeight="1">
      <c r="A744" s="38"/>
      <c r="B744" s="38"/>
      <c r="C744" s="56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</row>
    <row r="745" ht="15.75" customHeight="1">
      <c r="A745" s="38"/>
      <c r="B745" s="38"/>
      <c r="C745" s="56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</row>
    <row r="746" ht="15.75" customHeight="1">
      <c r="A746" s="38"/>
      <c r="B746" s="38"/>
      <c r="C746" s="56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</row>
    <row r="747" ht="15.75" customHeight="1">
      <c r="A747" s="38"/>
      <c r="B747" s="38"/>
      <c r="C747" s="56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</row>
    <row r="748" ht="15.75" customHeight="1">
      <c r="A748" s="38"/>
      <c r="B748" s="38"/>
      <c r="C748" s="56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</row>
    <row r="749" ht="15.75" customHeight="1">
      <c r="A749" s="38"/>
      <c r="B749" s="38"/>
      <c r="C749" s="56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</row>
    <row r="750" ht="15.75" customHeight="1">
      <c r="A750" s="38"/>
      <c r="B750" s="38"/>
      <c r="C750" s="56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</row>
    <row r="751" ht="15.75" customHeight="1">
      <c r="A751" s="38"/>
      <c r="B751" s="38"/>
      <c r="C751" s="56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</row>
    <row r="752" ht="15.75" customHeight="1">
      <c r="A752" s="38"/>
      <c r="B752" s="38"/>
      <c r="C752" s="56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</row>
    <row r="753" ht="15.75" customHeight="1">
      <c r="A753" s="38"/>
      <c r="B753" s="38"/>
      <c r="C753" s="56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</row>
    <row r="754" ht="15.75" customHeight="1">
      <c r="A754" s="38"/>
      <c r="B754" s="38"/>
      <c r="C754" s="56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</row>
    <row r="755" ht="15.75" customHeight="1">
      <c r="A755" s="38"/>
      <c r="B755" s="38"/>
      <c r="C755" s="56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</row>
    <row r="756" ht="15.75" customHeight="1">
      <c r="A756" s="38"/>
      <c r="B756" s="38"/>
      <c r="C756" s="56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</row>
    <row r="757" ht="15.75" customHeight="1">
      <c r="A757" s="38"/>
      <c r="B757" s="38"/>
      <c r="C757" s="56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</row>
    <row r="758" ht="15.75" customHeight="1">
      <c r="A758" s="38"/>
      <c r="B758" s="38"/>
      <c r="C758" s="56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</row>
    <row r="759" ht="15.75" customHeight="1">
      <c r="A759" s="38"/>
      <c r="B759" s="38"/>
      <c r="C759" s="56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</row>
    <row r="760" ht="15.75" customHeight="1">
      <c r="A760" s="38"/>
      <c r="B760" s="38"/>
      <c r="C760" s="56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</row>
    <row r="761" ht="15.75" customHeight="1">
      <c r="A761" s="38"/>
      <c r="B761" s="38"/>
      <c r="C761" s="56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</row>
    <row r="762" ht="15.75" customHeight="1">
      <c r="A762" s="38"/>
      <c r="B762" s="38"/>
      <c r="C762" s="56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</row>
    <row r="763" ht="15.75" customHeight="1">
      <c r="A763" s="38"/>
      <c r="B763" s="38"/>
      <c r="C763" s="56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</row>
    <row r="764" ht="15.75" customHeight="1">
      <c r="A764" s="38"/>
      <c r="B764" s="38"/>
      <c r="C764" s="56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</row>
    <row r="765" ht="15.75" customHeight="1">
      <c r="A765" s="38"/>
      <c r="B765" s="38"/>
      <c r="C765" s="56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</row>
    <row r="766" ht="15.75" customHeight="1">
      <c r="A766" s="38"/>
      <c r="B766" s="38"/>
      <c r="C766" s="56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</row>
    <row r="767" ht="15.75" customHeight="1">
      <c r="A767" s="38"/>
      <c r="B767" s="38"/>
      <c r="C767" s="56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</row>
    <row r="768" ht="15.75" customHeight="1">
      <c r="A768" s="38"/>
      <c r="B768" s="38"/>
      <c r="C768" s="56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</row>
    <row r="769" ht="15.75" customHeight="1">
      <c r="A769" s="38"/>
      <c r="B769" s="38"/>
      <c r="C769" s="56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</row>
    <row r="770" ht="15.75" customHeight="1">
      <c r="A770" s="38"/>
      <c r="B770" s="38"/>
      <c r="C770" s="56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</row>
    <row r="771" ht="15.75" customHeight="1">
      <c r="A771" s="38"/>
      <c r="B771" s="38"/>
      <c r="C771" s="56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</row>
    <row r="772" ht="15.75" customHeight="1">
      <c r="A772" s="38"/>
      <c r="B772" s="38"/>
      <c r="C772" s="56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</row>
    <row r="773" ht="15.75" customHeight="1">
      <c r="A773" s="38"/>
      <c r="B773" s="38"/>
      <c r="C773" s="56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</row>
    <row r="774" ht="15.75" customHeight="1">
      <c r="A774" s="38"/>
      <c r="B774" s="38"/>
      <c r="C774" s="56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</row>
    <row r="775" ht="15.75" customHeight="1">
      <c r="A775" s="38"/>
      <c r="B775" s="38"/>
      <c r="C775" s="56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</row>
    <row r="776" ht="15.75" customHeight="1">
      <c r="A776" s="38"/>
      <c r="B776" s="38"/>
      <c r="C776" s="56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</row>
    <row r="777" ht="15.75" customHeight="1">
      <c r="A777" s="38"/>
      <c r="B777" s="38"/>
      <c r="C777" s="56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</row>
    <row r="778" ht="15.75" customHeight="1">
      <c r="A778" s="38"/>
      <c r="B778" s="38"/>
      <c r="C778" s="56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</row>
    <row r="779" ht="15.75" customHeight="1">
      <c r="A779" s="38"/>
      <c r="B779" s="38"/>
      <c r="C779" s="56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</row>
    <row r="780" ht="15.75" customHeight="1">
      <c r="A780" s="38"/>
      <c r="B780" s="38"/>
      <c r="C780" s="56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</row>
    <row r="781" ht="15.75" customHeight="1">
      <c r="A781" s="38"/>
      <c r="B781" s="38"/>
      <c r="C781" s="56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</row>
    <row r="782" ht="15.75" customHeight="1">
      <c r="A782" s="38"/>
      <c r="B782" s="38"/>
      <c r="C782" s="56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</row>
    <row r="783" ht="15.75" customHeight="1">
      <c r="A783" s="38"/>
      <c r="B783" s="38"/>
      <c r="C783" s="56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</row>
    <row r="784" ht="15.75" customHeight="1">
      <c r="A784" s="38"/>
      <c r="B784" s="38"/>
      <c r="C784" s="56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</row>
    <row r="785" ht="15.75" customHeight="1">
      <c r="A785" s="38"/>
      <c r="B785" s="38"/>
      <c r="C785" s="56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</row>
    <row r="786" ht="15.75" customHeight="1">
      <c r="A786" s="38"/>
      <c r="B786" s="38"/>
      <c r="C786" s="56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</row>
    <row r="787" ht="15.75" customHeight="1">
      <c r="A787" s="38"/>
      <c r="B787" s="38"/>
      <c r="C787" s="56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</row>
    <row r="788" ht="15.75" customHeight="1">
      <c r="A788" s="38"/>
      <c r="B788" s="38"/>
      <c r="C788" s="56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</row>
    <row r="789" ht="15.75" customHeight="1">
      <c r="A789" s="38"/>
      <c r="B789" s="38"/>
      <c r="C789" s="56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</row>
    <row r="790" ht="15.75" customHeight="1">
      <c r="A790" s="38"/>
      <c r="B790" s="38"/>
      <c r="C790" s="56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</row>
    <row r="791" ht="15.75" customHeight="1">
      <c r="A791" s="38"/>
      <c r="B791" s="38"/>
      <c r="C791" s="56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</row>
    <row r="792" ht="15.75" customHeight="1">
      <c r="A792" s="38"/>
      <c r="B792" s="38"/>
      <c r="C792" s="56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</row>
    <row r="793" ht="15.75" customHeight="1">
      <c r="A793" s="38"/>
      <c r="B793" s="38"/>
      <c r="C793" s="56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</row>
    <row r="794" ht="15.75" customHeight="1">
      <c r="A794" s="38"/>
      <c r="B794" s="38"/>
      <c r="C794" s="56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</row>
    <row r="795" ht="15.75" customHeight="1">
      <c r="A795" s="38"/>
      <c r="B795" s="38"/>
      <c r="C795" s="56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</row>
    <row r="796" ht="15.75" customHeight="1">
      <c r="A796" s="38"/>
      <c r="B796" s="38"/>
      <c r="C796" s="56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</row>
    <row r="797" ht="15.75" customHeight="1">
      <c r="A797" s="38"/>
      <c r="B797" s="38"/>
      <c r="C797" s="56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</row>
    <row r="798" ht="15.75" customHeight="1">
      <c r="A798" s="38"/>
      <c r="B798" s="38"/>
      <c r="C798" s="56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</row>
    <row r="799" ht="15.75" customHeight="1">
      <c r="A799" s="38"/>
      <c r="B799" s="38"/>
      <c r="C799" s="56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</row>
    <row r="800" ht="15.75" customHeight="1">
      <c r="A800" s="38"/>
      <c r="B800" s="38"/>
      <c r="C800" s="56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</row>
    <row r="801" ht="15.75" customHeight="1">
      <c r="A801" s="38"/>
      <c r="B801" s="38"/>
      <c r="C801" s="56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</row>
    <row r="802" ht="15.75" customHeight="1">
      <c r="A802" s="38"/>
      <c r="B802" s="38"/>
      <c r="C802" s="56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</row>
    <row r="803" ht="15.75" customHeight="1">
      <c r="A803" s="38"/>
      <c r="B803" s="38"/>
      <c r="C803" s="56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</row>
    <row r="804" ht="15.75" customHeight="1">
      <c r="A804" s="38"/>
      <c r="B804" s="38"/>
      <c r="C804" s="56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</row>
    <row r="805" ht="15.75" customHeight="1">
      <c r="A805" s="38"/>
      <c r="B805" s="38"/>
      <c r="C805" s="56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</row>
    <row r="806" ht="15.75" customHeight="1">
      <c r="A806" s="38"/>
      <c r="B806" s="38"/>
      <c r="C806" s="56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</row>
    <row r="807" ht="15.75" customHeight="1">
      <c r="A807" s="38"/>
      <c r="B807" s="38"/>
      <c r="C807" s="56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</row>
    <row r="808" ht="15.75" customHeight="1">
      <c r="A808" s="38"/>
      <c r="B808" s="38"/>
      <c r="C808" s="56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</row>
    <row r="809" ht="15.75" customHeight="1">
      <c r="A809" s="38"/>
      <c r="B809" s="38"/>
      <c r="C809" s="56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</row>
    <row r="810" ht="15.75" customHeight="1">
      <c r="A810" s="38"/>
      <c r="B810" s="38"/>
      <c r="C810" s="56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</row>
    <row r="811" ht="15.75" customHeight="1">
      <c r="A811" s="38"/>
      <c r="B811" s="38"/>
      <c r="C811" s="56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</row>
    <row r="812" ht="15.75" customHeight="1">
      <c r="A812" s="38"/>
      <c r="B812" s="38"/>
      <c r="C812" s="56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</row>
    <row r="813" ht="15.75" customHeight="1">
      <c r="A813" s="38"/>
      <c r="B813" s="38"/>
      <c r="C813" s="56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</row>
    <row r="814" ht="15.75" customHeight="1">
      <c r="A814" s="38"/>
      <c r="B814" s="38"/>
      <c r="C814" s="56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</row>
    <row r="815" ht="15.75" customHeight="1">
      <c r="A815" s="38"/>
      <c r="B815" s="38"/>
      <c r="C815" s="56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</row>
    <row r="816" ht="15.75" customHeight="1">
      <c r="A816" s="38"/>
      <c r="B816" s="38"/>
      <c r="C816" s="56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</row>
    <row r="817" ht="15.75" customHeight="1">
      <c r="A817" s="38"/>
      <c r="B817" s="38"/>
      <c r="C817" s="56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</row>
    <row r="818" ht="15.75" customHeight="1">
      <c r="A818" s="38"/>
      <c r="B818" s="38"/>
      <c r="C818" s="56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</row>
    <row r="819" ht="15.75" customHeight="1">
      <c r="A819" s="38"/>
      <c r="B819" s="38"/>
      <c r="C819" s="56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</row>
    <row r="820" ht="15.75" customHeight="1">
      <c r="A820" s="38"/>
      <c r="B820" s="38"/>
      <c r="C820" s="56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</row>
    <row r="821" ht="15.75" customHeight="1">
      <c r="A821" s="38"/>
      <c r="B821" s="38"/>
      <c r="C821" s="56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</row>
    <row r="822" ht="15.75" customHeight="1">
      <c r="A822" s="38"/>
      <c r="B822" s="38"/>
      <c r="C822" s="56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</row>
    <row r="823" ht="15.75" customHeight="1">
      <c r="A823" s="38"/>
      <c r="B823" s="38"/>
      <c r="C823" s="56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</row>
    <row r="824" ht="15.75" customHeight="1">
      <c r="A824" s="38"/>
      <c r="B824" s="38"/>
      <c r="C824" s="56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</row>
    <row r="825" ht="15.75" customHeight="1">
      <c r="A825" s="38"/>
      <c r="B825" s="38"/>
      <c r="C825" s="56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</row>
    <row r="826" ht="15.75" customHeight="1">
      <c r="A826" s="38"/>
      <c r="B826" s="38"/>
      <c r="C826" s="56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</row>
    <row r="827" ht="15.75" customHeight="1">
      <c r="A827" s="38"/>
      <c r="B827" s="38"/>
      <c r="C827" s="56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</row>
    <row r="828" ht="15.75" customHeight="1">
      <c r="A828" s="38"/>
      <c r="B828" s="38"/>
      <c r="C828" s="56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</row>
    <row r="829" ht="15.75" customHeight="1">
      <c r="A829" s="38"/>
      <c r="B829" s="38"/>
      <c r="C829" s="56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</row>
    <row r="830" ht="15.75" customHeight="1">
      <c r="A830" s="38"/>
      <c r="B830" s="38"/>
      <c r="C830" s="56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</row>
    <row r="831" ht="15.75" customHeight="1">
      <c r="A831" s="38"/>
      <c r="B831" s="38"/>
      <c r="C831" s="56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</row>
    <row r="832" ht="15.75" customHeight="1">
      <c r="A832" s="38"/>
      <c r="B832" s="38"/>
      <c r="C832" s="56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</row>
    <row r="833" ht="15.75" customHeight="1">
      <c r="A833" s="38"/>
      <c r="B833" s="38"/>
      <c r="C833" s="56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</row>
    <row r="834" ht="15.75" customHeight="1">
      <c r="A834" s="38"/>
      <c r="B834" s="38"/>
      <c r="C834" s="56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</row>
    <row r="835" ht="15.75" customHeight="1">
      <c r="A835" s="38"/>
      <c r="B835" s="38"/>
      <c r="C835" s="56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</row>
    <row r="836" ht="15.75" customHeight="1">
      <c r="A836" s="38"/>
      <c r="B836" s="38"/>
      <c r="C836" s="56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</row>
    <row r="837" ht="15.75" customHeight="1">
      <c r="A837" s="38"/>
      <c r="B837" s="38"/>
      <c r="C837" s="56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</row>
    <row r="838" ht="15.75" customHeight="1">
      <c r="A838" s="38"/>
      <c r="B838" s="38"/>
      <c r="C838" s="56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</row>
    <row r="839" ht="15.75" customHeight="1">
      <c r="A839" s="38"/>
      <c r="B839" s="38"/>
      <c r="C839" s="56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</row>
    <row r="840" ht="15.75" customHeight="1">
      <c r="A840" s="38"/>
      <c r="B840" s="38"/>
      <c r="C840" s="56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</row>
    <row r="841" ht="15.75" customHeight="1">
      <c r="A841" s="38"/>
      <c r="B841" s="38"/>
      <c r="C841" s="56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</row>
    <row r="842" ht="15.75" customHeight="1">
      <c r="A842" s="38"/>
      <c r="B842" s="38"/>
      <c r="C842" s="56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</row>
    <row r="843" ht="15.75" customHeight="1">
      <c r="A843" s="38"/>
      <c r="B843" s="38"/>
      <c r="C843" s="56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</row>
    <row r="844" ht="15.75" customHeight="1">
      <c r="A844" s="38"/>
      <c r="B844" s="38"/>
      <c r="C844" s="56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</row>
    <row r="845" ht="15.75" customHeight="1">
      <c r="A845" s="38"/>
      <c r="B845" s="38"/>
      <c r="C845" s="56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</row>
    <row r="846" ht="15.75" customHeight="1">
      <c r="A846" s="38"/>
      <c r="B846" s="38"/>
      <c r="C846" s="56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</row>
    <row r="847" ht="15.75" customHeight="1">
      <c r="A847" s="38"/>
      <c r="B847" s="38"/>
      <c r="C847" s="56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</row>
    <row r="848" ht="15.75" customHeight="1">
      <c r="A848" s="38"/>
      <c r="B848" s="38"/>
      <c r="C848" s="56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</row>
    <row r="849" ht="15.75" customHeight="1">
      <c r="A849" s="38"/>
      <c r="B849" s="38"/>
      <c r="C849" s="56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</row>
    <row r="850" ht="15.75" customHeight="1">
      <c r="A850" s="38"/>
      <c r="B850" s="38"/>
      <c r="C850" s="56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</row>
    <row r="851" ht="15.75" customHeight="1">
      <c r="A851" s="38"/>
      <c r="B851" s="38"/>
      <c r="C851" s="56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</row>
    <row r="852" ht="15.75" customHeight="1">
      <c r="A852" s="38"/>
      <c r="B852" s="38"/>
      <c r="C852" s="56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</row>
    <row r="853" ht="15.75" customHeight="1">
      <c r="A853" s="38"/>
      <c r="B853" s="38"/>
      <c r="C853" s="56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</row>
    <row r="854" ht="15.75" customHeight="1">
      <c r="A854" s="38"/>
      <c r="B854" s="38"/>
      <c r="C854" s="56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</row>
    <row r="855" ht="15.75" customHeight="1">
      <c r="A855" s="38"/>
      <c r="B855" s="38"/>
      <c r="C855" s="56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</row>
    <row r="856" ht="15.75" customHeight="1">
      <c r="A856" s="38"/>
      <c r="B856" s="38"/>
      <c r="C856" s="56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</row>
    <row r="857" ht="15.75" customHeight="1">
      <c r="A857" s="38"/>
      <c r="B857" s="38"/>
      <c r="C857" s="56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</row>
    <row r="858" ht="15.75" customHeight="1">
      <c r="A858" s="38"/>
      <c r="B858" s="38"/>
      <c r="C858" s="56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</row>
    <row r="859" ht="15.75" customHeight="1">
      <c r="A859" s="38"/>
      <c r="B859" s="38"/>
      <c r="C859" s="56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</row>
    <row r="860" ht="15.75" customHeight="1">
      <c r="A860" s="38"/>
      <c r="B860" s="38"/>
      <c r="C860" s="56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</row>
    <row r="861" ht="15.75" customHeight="1">
      <c r="A861" s="38"/>
      <c r="B861" s="38"/>
      <c r="C861" s="56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</row>
    <row r="862" ht="15.75" customHeight="1">
      <c r="A862" s="38"/>
      <c r="B862" s="38"/>
      <c r="C862" s="56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</row>
    <row r="863" ht="15.75" customHeight="1">
      <c r="A863" s="38"/>
      <c r="B863" s="38"/>
      <c r="C863" s="56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</row>
    <row r="864" ht="15.75" customHeight="1">
      <c r="A864" s="38"/>
      <c r="B864" s="38"/>
      <c r="C864" s="56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</row>
    <row r="865" ht="15.75" customHeight="1">
      <c r="A865" s="38"/>
      <c r="B865" s="38"/>
      <c r="C865" s="56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</row>
    <row r="866" ht="15.75" customHeight="1">
      <c r="A866" s="38"/>
      <c r="B866" s="38"/>
      <c r="C866" s="56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</row>
    <row r="867" ht="15.75" customHeight="1">
      <c r="A867" s="38"/>
      <c r="B867" s="38"/>
      <c r="C867" s="56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</row>
    <row r="868" ht="15.75" customHeight="1">
      <c r="A868" s="38"/>
      <c r="B868" s="38"/>
      <c r="C868" s="56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</row>
    <row r="869" ht="15.75" customHeight="1">
      <c r="A869" s="38"/>
      <c r="B869" s="38"/>
      <c r="C869" s="56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</row>
    <row r="870" ht="15.75" customHeight="1">
      <c r="A870" s="38"/>
      <c r="B870" s="38"/>
      <c r="C870" s="56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</row>
    <row r="871" ht="15.75" customHeight="1">
      <c r="A871" s="38"/>
      <c r="B871" s="38"/>
      <c r="C871" s="56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</row>
    <row r="872" ht="15.75" customHeight="1">
      <c r="A872" s="38"/>
      <c r="B872" s="38"/>
      <c r="C872" s="56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</row>
    <row r="873" ht="15.75" customHeight="1">
      <c r="A873" s="38"/>
      <c r="B873" s="38"/>
      <c r="C873" s="56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</row>
    <row r="874" ht="15.75" customHeight="1">
      <c r="A874" s="38"/>
      <c r="B874" s="38"/>
      <c r="C874" s="56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</row>
    <row r="875" ht="15.75" customHeight="1">
      <c r="A875" s="38"/>
      <c r="B875" s="38"/>
      <c r="C875" s="56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</row>
    <row r="876" ht="15.75" customHeight="1">
      <c r="A876" s="38"/>
      <c r="B876" s="38"/>
      <c r="C876" s="56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</row>
    <row r="877" ht="15.75" customHeight="1">
      <c r="A877" s="38"/>
      <c r="B877" s="38"/>
      <c r="C877" s="56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</row>
    <row r="878" ht="15.75" customHeight="1">
      <c r="A878" s="38"/>
      <c r="B878" s="38"/>
      <c r="C878" s="56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</row>
    <row r="879" ht="15.75" customHeight="1">
      <c r="A879" s="38"/>
      <c r="B879" s="38"/>
      <c r="C879" s="56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</row>
    <row r="880" ht="15.75" customHeight="1">
      <c r="A880" s="38"/>
      <c r="B880" s="38"/>
      <c r="C880" s="56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</row>
    <row r="881" ht="15.75" customHeight="1">
      <c r="A881" s="38"/>
      <c r="B881" s="38"/>
      <c r="C881" s="56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</row>
    <row r="882" ht="15.75" customHeight="1">
      <c r="A882" s="38"/>
      <c r="B882" s="38"/>
      <c r="C882" s="56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</row>
    <row r="883" ht="15.75" customHeight="1">
      <c r="A883" s="38"/>
      <c r="B883" s="38"/>
      <c r="C883" s="56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</row>
    <row r="884" ht="15.75" customHeight="1">
      <c r="A884" s="38"/>
      <c r="B884" s="38"/>
      <c r="C884" s="56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</row>
    <row r="885" ht="15.75" customHeight="1">
      <c r="A885" s="38"/>
      <c r="B885" s="38"/>
      <c r="C885" s="56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</row>
    <row r="886" ht="15.75" customHeight="1">
      <c r="A886" s="38"/>
      <c r="B886" s="38"/>
      <c r="C886" s="56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</row>
    <row r="887" ht="15.75" customHeight="1">
      <c r="A887" s="38"/>
      <c r="B887" s="38"/>
      <c r="C887" s="56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</row>
    <row r="888" ht="15.75" customHeight="1">
      <c r="A888" s="38"/>
      <c r="B888" s="38"/>
      <c r="C888" s="56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</row>
    <row r="889" ht="15.75" customHeight="1">
      <c r="A889" s="38"/>
      <c r="B889" s="38"/>
      <c r="C889" s="56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</row>
    <row r="890" ht="15.75" customHeight="1">
      <c r="A890" s="38"/>
      <c r="B890" s="38"/>
      <c r="C890" s="56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</row>
    <row r="891" ht="15.75" customHeight="1">
      <c r="A891" s="38"/>
      <c r="B891" s="38"/>
      <c r="C891" s="56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</row>
    <row r="892" ht="15.75" customHeight="1">
      <c r="A892" s="38"/>
      <c r="B892" s="38"/>
      <c r="C892" s="56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</row>
    <row r="893" ht="15.75" customHeight="1">
      <c r="A893" s="38"/>
      <c r="B893" s="38"/>
      <c r="C893" s="56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</row>
    <row r="894" ht="15.75" customHeight="1">
      <c r="A894" s="38"/>
      <c r="B894" s="38"/>
      <c r="C894" s="56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</row>
    <row r="895" ht="15.75" customHeight="1">
      <c r="A895" s="38"/>
      <c r="B895" s="38"/>
      <c r="C895" s="56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</row>
    <row r="896" ht="15.75" customHeight="1">
      <c r="A896" s="38"/>
      <c r="B896" s="38"/>
      <c r="C896" s="56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</row>
    <row r="897" ht="15.75" customHeight="1">
      <c r="A897" s="38"/>
      <c r="B897" s="38"/>
      <c r="C897" s="56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</row>
    <row r="898" ht="15.75" customHeight="1">
      <c r="A898" s="38"/>
      <c r="B898" s="38"/>
      <c r="C898" s="56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</row>
    <row r="899" ht="15.75" customHeight="1">
      <c r="A899" s="38"/>
      <c r="B899" s="38"/>
      <c r="C899" s="56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</row>
    <row r="900" ht="15.75" customHeight="1">
      <c r="A900" s="38"/>
      <c r="B900" s="38"/>
      <c r="C900" s="56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</row>
    <row r="901" ht="15.75" customHeight="1">
      <c r="A901" s="38"/>
      <c r="B901" s="38"/>
      <c r="C901" s="56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</row>
    <row r="902" ht="15.75" customHeight="1">
      <c r="A902" s="38"/>
      <c r="B902" s="38"/>
      <c r="C902" s="56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</row>
    <row r="903" ht="15.75" customHeight="1">
      <c r="A903" s="38"/>
      <c r="B903" s="38"/>
      <c r="C903" s="56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</row>
    <row r="904" ht="15.75" customHeight="1">
      <c r="A904" s="38"/>
      <c r="B904" s="38"/>
      <c r="C904" s="56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</row>
    <row r="905" ht="15.75" customHeight="1">
      <c r="A905" s="38"/>
      <c r="B905" s="38"/>
      <c r="C905" s="56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</row>
    <row r="906" ht="15.75" customHeight="1">
      <c r="A906" s="38"/>
      <c r="B906" s="38"/>
      <c r="C906" s="56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</row>
    <row r="907" ht="15.75" customHeight="1">
      <c r="A907" s="38"/>
      <c r="B907" s="38"/>
      <c r="C907" s="56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</row>
    <row r="908" ht="15.75" customHeight="1">
      <c r="A908" s="38"/>
      <c r="B908" s="38"/>
      <c r="C908" s="56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</row>
    <row r="909" ht="15.75" customHeight="1">
      <c r="A909" s="38"/>
      <c r="B909" s="38"/>
      <c r="C909" s="56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</row>
    <row r="910" ht="15.75" customHeight="1">
      <c r="A910" s="38"/>
      <c r="B910" s="38"/>
      <c r="C910" s="56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</row>
    <row r="911" ht="15.75" customHeight="1">
      <c r="A911" s="38"/>
      <c r="B911" s="38"/>
      <c r="C911" s="56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</row>
    <row r="912" ht="15.75" customHeight="1">
      <c r="A912" s="38"/>
      <c r="B912" s="38"/>
      <c r="C912" s="56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</row>
    <row r="913" ht="15.75" customHeight="1">
      <c r="A913" s="38"/>
      <c r="B913" s="38"/>
      <c r="C913" s="56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</row>
    <row r="914" ht="15.75" customHeight="1">
      <c r="A914" s="38"/>
      <c r="B914" s="38"/>
      <c r="C914" s="56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</row>
    <row r="915" ht="15.75" customHeight="1">
      <c r="A915" s="38"/>
      <c r="B915" s="38"/>
      <c r="C915" s="56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</row>
    <row r="916" ht="15.75" customHeight="1">
      <c r="A916" s="38"/>
      <c r="B916" s="38"/>
      <c r="C916" s="56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</row>
    <row r="917" ht="15.75" customHeight="1">
      <c r="A917" s="38"/>
      <c r="B917" s="38"/>
      <c r="C917" s="56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</row>
    <row r="918" ht="15.75" customHeight="1">
      <c r="A918" s="38"/>
      <c r="B918" s="38"/>
      <c r="C918" s="56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</row>
    <row r="919" ht="15.75" customHeight="1">
      <c r="A919" s="38"/>
      <c r="B919" s="38"/>
      <c r="C919" s="56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</row>
    <row r="920" ht="15.75" customHeight="1">
      <c r="A920" s="38"/>
      <c r="B920" s="38"/>
      <c r="C920" s="56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</row>
    <row r="921" ht="15.75" customHeight="1">
      <c r="A921" s="38"/>
      <c r="B921" s="38"/>
      <c r="C921" s="56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</row>
    <row r="922" ht="15.75" customHeight="1">
      <c r="A922" s="38"/>
      <c r="B922" s="38"/>
      <c r="C922" s="56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</row>
    <row r="923" ht="15.75" customHeight="1">
      <c r="A923" s="38"/>
      <c r="B923" s="38"/>
      <c r="C923" s="56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</row>
    <row r="924" ht="15.75" customHeight="1">
      <c r="A924" s="38"/>
      <c r="B924" s="38"/>
      <c r="C924" s="56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</row>
    <row r="925" ht="15.75" customHeight="1">
      <c r="A925" s="38"/>
      <c r="B925" s="38"/>
      <c r="C925" s="56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</row>
    <row r="926" ht="15.75" customHeight="1">
      <c r="A926" s="38"/>
      <c r="B926" s="38"/>
      <c r="C926" s="56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</row>
    <row r="927" ht="15.75" customHeight="1">
      <c r="A927" s="38"/>
      <c r="B927" s="38"/>
      <c r="C927" s="56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</row>
    <row r="928" ht="15.75" customHeight="1">
      <c r="A928" s="38"/>
      <c r="B928" s="38"/>
      <c r="C928" s="56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</row>
    <row r="929" ht="15.75" customHeight="1">
      <c r="A929" s="38"/>
      <c r="B929" s="38"/>
      <c r="C929" s="56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</row>
    <row r="930" ht="15.75" customHeight="1">
      <c r="A930" s="38"/>
      <c r="B930" s="38"/>
      <c r="C930" s="56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</row>
    <row r="931" ht="15.75" customHeight="1">
      <c r="A931" s="38"/>
      <c r="B931" s="38"/>
      <c r="C931" s="56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</row>
    <row r="932" ht="15.75" customHeight="1">
      <c r="A932" s="38"/>
      <c r="B932" s="38"/>
      <c r="C932" s="56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</row>
    <row r="933" ht="15.75" customHeight="1">
      <c r="A933" s="38"/>
      <c r="B933" s="38"/>
      <c r="C933" s="56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</row>
    <row r="934" ht="15.75" customHeight="1">
      <c r="A934" s="38"/>
      <c r="B934" s="38"/>
      <c r="C934" s="56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</row>
    <row r="935" ht="15.75" customHeight="1">
      <c r="A935" s="38"/>
      <c r="B935" s="38"/>
      <c r="C935" s="56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</row>
    <row r="936" ht="15.75" customHeight="1">
      <c r="A936" s="38"/>
      <c r="B936" s="38"/>
      <c r="C936" s="56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</row>
    <row r="937" ht="15.75" customHeight="1">
      <c r="A937" s="38"/>
      <c r="B937" s="38"/>
      <c r="C937" s="56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</row>
    <row r="938" ht="15.75" customHeight="1">
      <c r="A938" s="38"/>
      <c r="B938" s="38"/>
      <c r="C938" s="56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</row>
    <row r="939" ht="15.75" customHeight="1">
      <c r="A939" s="38"/>
      <c r="B939" s="38"/>
      <c r="C939" s="56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</row>
    <row r="940" ht="15.75" customHeight="1">
      <c r="A940" s="38"/>
      <c r="B940" s="38"/>
      <c r="C940" s="56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</row>
    <row r="941" ht="15.75" customHeight="1">
      <c r="A941" s="38"/>
      <c r="B941" s="38"/>
      <c r="C941" s="56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</row>
    <row r="942" ht="15.75" customHeight="1">
      <c r="A942" s="38"/>
      <c r="B942" s="38"/>
      <c r="C942" s="56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</row>
    <row r="943" ht="15.75" customHeight="1">
      <c r="A943" s="38"/>
      <c r="B943" s="38"/>
      <c r="C943" s="56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</row>
    <row r="944" ht="15.75" customHeight="1">
      <c r="A944" s="38"/>
      <c r="B944" s="38"/>
      <c r="C944" s="56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</row>
    <row r="945" ht="15.75" customHeight="1">
      <c r="A945" s="38"/>
      <c r="B945" s="38"/>
      <c r="C945" s="56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</row>
    <row r="946" ht="15.75" customHeight="1">
      <c r="A946" s="38"/>
      <c r="B946" s="38"/>
      <c r="C946" s="56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</row>
    <row r="947" ht="15.75" customHeight="1">
      <c r="A947" s="38"/>
      <c r="B947" s="38"/>
      <c r="C947" s="56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</row>
    <row r="948" ht="15.75" customHeight="1">
      <c r="A948" s="38"/>
      <c r="B948" s="38"/>
      <c r="C948" s="56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</row>
    <row r="949" ht="15.75" customHeight="1">
      <c r="A949" s="38"/>
      <c r="B949" s="38"/>
      <c r="C949" s="56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</row>
    <row r="950" ht="15.75" customHeight="1">
      <c r="A950" s="38"/>
      <c r="B950" s="38"/>
      <c r="C950" s="56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</row>
    <row r="951" ht="15.75" customHeight="1">
      <c r="A951" s="38"/>
      <c r="B951" s="38"/>
      <c r="C951" s="56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</row>
    <row r="952" ht="15.75" customHeight="1">
      <c r="A952" s="38"/>
      <c r="B952" s="38"/>
      <c r="C952" s="56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</row>
    <row r="953" ht="15.75" customHeight="1">
      <c r="A953" s="38"/>
      <c r="B953" s="38"/>
      <c r="C953" s="56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</row>
    <row r="954" ht="15.75" customHeight="1">
      <c r="A954" s="38"/>
      <c r="B954" s="38"/>
      <c r="C954" s="56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</row>
    <row r="955" ht="15.75" customHeight="1">
      <c r="A955" s="38"/>
      <c r="B955" s="38"/>
      <c r="C955" s="56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</row>
    <row r="956" ht="15.75" customHeight="1">
      <c r="A956" s="38"/>
      <c r="B956" s="38"/>
      <c r="C956" s="56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</row>
    <row r="957" ht="15.75" customHeight="1">
      <c r="A957" s="38"/>
      <c r="B957" s="38"/>
      <c r="C957" s="56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</row>
    <row r="958" ht="15.75" customHeight="1">
      <c r="A958" s="38"/>
      <c r="B958" s="38"/>
      <c r="C958" s="56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</row>
    <row r="959" ht="15.75" customHeight="1">
      <c r="A959" s="38"/>
      <c r="B959" s="38"/>
      <c r="C959" s="56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</row>
    <row r="960" ht="15.75" customHeight="1">
      <c r="A960" s="38"/>
      <c r="B960" s="38"/>
      <c r="C960" s="56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</row>
    <row r="961" ht="15.75" customHeight="1">
      <c r="A961" s="38"/>
      <c r="B961" s="38"/>
      <c r="C961" s="56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</row>
    <row r="962" ht="15.75" customHeight="1">
      <c r="A962" s="38"/>
      <c r="B962" s="38"/>
      <c r="C962" s="56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</row>
    <row r="963" ht="15.75" customHeight="1">
      <c r="A963" s="38"/>
      <c r="B963" s="38"/>
      <c r="C963" s="56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</row>
    <row r="964" ht="15.75" customHeight="1">
      <c r="A964" s="38"/>
      <c r="B964" s="38"/>
      <c r="C964" s="56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</row>
    <row r="965" ht="15.75" customHeight="1">
      <c r="A965" s="38"/>
      <c r="B965" s="38"/>
      <c r="C965" s="56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</row>
    <row r="966" ht="15.75" customHeight="1">
      <c r="A966" s="38"/>
      <c r="B966" s="38"/>
      <c r="C966" s="56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</row>
    <row r="967" ht="15.75" customHeight="1">
      <c r="A967" s="38"/>
      <c r="B967" s="38"/>
      <c r="C967" s="56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</row>
    <row r="968" ht="15.75" customHeight="1">
      <c r="A968" s="38"/>
      <c r="B968" s="38"/>
      <c r="C968" s="56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</row>
    <row r="969" ht="15.75" customHeight="1">
      <c r="A969" s="38"/>
      <c r="B969" s="38"/>
      <c r="C969" s="56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</row>
    <row r="970" ht="15.75" customHeight="1">
      <c r="A970" s="38"/>
      <c r="B970" s="38"/>
      <c r="C970" s="56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</row>
    <row r="971" ht="15.75" customHeight="1">
      <c r="A971" s="38"/>
      <c r="B971" s="38"/>
      <c r="C971" s="56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</row>
    <row r="972" ht="15.75" customHeight="1">
      <c r="A972" s="38"/>
      <c r="B972" s="38"/>
      <c r="C972" s="56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</row>
    <row r="973" ht="15.75" customHeight="1">
      <c r="A973" s="38"/>
      <c r="B973" s="38"/>
      <c r="C973" s="56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</row>
    <row r="974" ht="15.75" customHeight="1">
      <c r="A974" s="38"/>
      <c r="B974" s="38"/>
      <c r="C974" s="56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</row>
    <row r="975" ht="15.75" customHeight="1">
      <c r="A975" s="38"/>
      <c r="B975" s="38"/>
      <c r="C975" s="56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</row>
    <row r="976" ht="15.75" customHeight="1">
      <c r="A976" s="38"/>
      <c r="B976" s="38"/>
      <c r="C976" s="56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</row>
    <row r="977" ht="15.75" customHeight="1">
      <c r="A977" s="38"/>
      <c r="B977" s="38"/>
      <c r="C977" s="56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</row>
    <row r="978" ht="15.75" customHeight="1">
      <c r="A978" s="38"/>
      <c r="B978" s="38"/>
      <c r="C978" s="56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</row>
    <row r="979" ht="15.75" customHeight="1">
      <c r="A979" s="38"/>
      <c r="B979" s="38"/>
      <c r="C979" s="56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</row>
    <row r="980" ht="15.75" customHeight="1">
      <c r="A980" s="38"/>
      <c r="B980" s="38"/>
      <c r="C980" s="56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</row>
    <row r="981" ht="15.75" customHeight="1">
      <c r="A981" s="38"/>
      <c r="B981" s="38"/>
      <c r="C981" s="56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</row>
    <row r="982" ht="15.75" customHeight="1">
      <c r="A982" s="38"/>
      <c r="B982" s="38"/>
      <c r="C982" s="56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</row>
    <row r="983" ht="15.75" customHeight="1">
      <c r="A983" s="38"/>
      <c r="B983" s="38"/>
      <c r="C983" s="56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</row>
    <row r="984" ht="15.75" customHeight="1">
      <c r="A984" s="38"/>
      <c r="B984" s="38"/>
      <c r="C984" s="56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</row>
    <row r="985" ht="15.75" customHeight="1">
      <c r="A985" s="38"/>
      <c r="B985" s="38"/>
      <c r="C985" s="56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</row>
    <row r="986" ht="15.75" customHeight="1">
      <c r="A986" s="38"/>
      <c r="B986" s="38"/>
      <c r="C986" s="56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</row>
    <row r="987" ht="15.75" customHeight="1">
      <c r="A987" s="38"/>
      <c r="B987" s="38"/>
      <c r="C987" s="56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</row>
  </sheetData>
  <mergeCells count="16">
    <mergeCell ref="B6:O6"/>
    <mergeCell ref="C7:D7"/>
    <mergeCell ref="B8:B9"/>
    <mergeCell ref="C8:C9"/>
    <mergeCell ref="G8:G9"/>
    <mergeCell ref="B10:G10"/>
    <mergeCell ref="F11:J11"/>
    <mergeCell ref="B16:E16"/>
    <mergeCell ref="F16:J16"/>
    <mergeCell ref="B12:E12"/>
    <mergeCell ref="B13:E13"/>
    <mergeCell ref="F13:J13"/>
    <mergeCell ref="B14:E14"/>
    <mergeCell ref="F14:J14"/>
    <mergeCell ref="B15:E15"/>
    <mergeCell ref="F15:J15"/>
  </mergeCells>
  <hyperlinks>
    <hyperlink r:id="rId1" ref="B8"/>
  </hyperlinks>
  <printOptions/>
  <pageMargins bottom="0.75" footer="0.0" header="0.0" left="0.700000047683716" right="0.700000047683716" top="0.75"/>
  <pageSetup orientation="portrait" paperHeight="11.6929197in" paperWidth="8.267721i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46.63"/>
    <col customWidth="1" min="3" max="3" width="20.0"/>
    <col customWidth="1" min="4" max="4" width="2.88"/>
  </cols>
  <sheetData>
    <row r="1" ht="9.0" customHeight="1">
      <c r="A1" s="4"/>
    </row>
    <row r="2" ht="15.75" customHeight="1">
      <c r="A2" s="1"/>
      <c r="B2" s="2" t="s">
        <v>0</v>
      </c>
      <c r="C2" s="3"/>
      <c r="D2" s="3"/>
    </row>
    <row r="3" ht="15.75" customHeight="1">
      <c r="A3" s="4"/>
      <c r="B3" s="5" t="s">
        <v>116</v>
      </c>
      <c r="C3" s="6"/>
      <c r="D3" s="6"/>
    </row>
    <row r="4" ht="15.75" customHeight="1">
      <c r="A4" s="4"/>
      <c r="B4" s="5" t="s">
        <v>117</v>
      </c>
      <c r="C4" s="6"/>
      <c r="D4" s="6"/>
    </row>
    <row r="5" ht="15.75" customHeight="1">
      <c r="A5" s="4"/>
      <c r="B5" s="8" t="s">
        <v>118</v>
      </c>
      <c r="C5" s="60"/>
      <c r="D5" s="60"/>
    </row>
    <row r="6">
      <c r="A6" s="61"/>
      <c r="B6" s="62" t="s">
        <v>41</v>
      </c>
      <c r="C6" s="62" t="s">
        <v>42</v>
      </c>
      <c r="D6" s="61"/>
    </row>
    <row r="7">
      <c r="A7" s="61"/>
      <c r="B7" s="65" t="s">
        <v>125</v>
      </c>
      <c r="C7" s="66">
        <v>2952.0</v>
      </c>
      <c r="D7" s="61"/>
    </row>
    <row r="8">
      <c r="A8" s="61"/>
      <c r="B8" s="65" t="s">
        <v>126</v>
      </c>
      <c r="C8" s="66">
        <v>2807.0</v>
      </c>
      <c r="D8" s="61"/>
    </row>
    <row r="9">
      <c r="A9" s="61"/>
      <c r="B9" s="65" t="s">
        <v>127</v>
      </c>
      <c r="C9" s="66">
        <v>1765.0</v>
      </c>
      <c r="D9" s="61"/>
    </row>
    <row r="10">
      <c r="A10" s="61"/>
      <c r="B10" s="65" t="s">
        <v>128</v>
      </c>
      <c r="C10" s="66">
        <v>1630.0</v>
      </c>
      <c r="D10" s="61"/>
    </row>
    <row r="11">
      <c r="A11" s="61"/>
      <c r="B11" s="65" t="s">
        <v>129</v>
      </c>
      <c r="C11" s="66">
        <v>828.0</v>
      </c>
      <c r="D11" s="61"/>
    </row>
    <row r="12">
      <c r="A12" s="61"/>
      <c r="B12" s="65" t="s">
        <v>130</v>
      </c>
      <c r="C12" s="66">
        <v>794.0</v>
      </c>
      <c r="D12" s="61"/>
    </row>
    <row r="13">
      <c r="A13" s="61"/>
      <c r="B13" s="65" t="s">
        <v>131</v>
      </c>
      <c r="C13" s="66">
        <v>785.0</v>
      </c>
      <c r="D13" s="61"/>
    </row>
    <row r="14">
      <c r="A14" s="61"/>
      <c r="B14" s="65" t="s">
        <v>132</v>
      </c>
      <c r="C14" s="66">
        <v>720.0</v>
      </c>
      <c r="D14" s="61"/>
    </row>
    <row r="15">
      <c r="A15" s="61"/>
      <c r="B15" s="65" t="s">
        <v>133</v>
      </c>
      <c r="C15" s="66">
        <v>717.0</v>
      </c>
      <c r="D15" s="61"/>
    </row>
    <row r="16">
      <c r="A16" s="61"/>
      <c r="B16" s="65" t="s">
        <v>134</v>
      </c>
      <c r="C16" s="66">
        <v>692.0</v>
      </c>
      <c r="D16" s="61"/>
    </row>
    <row r="17">
      <c r="A17" s="61"/>
      <c r="B17" s="65" t="s">
        <v>135</v>
      </c>
      <c r="C17" s="66">
        <v>655.0</v>
      </c>
      <c r="D17" s="61"/>
    </row>
    <row r="18">
      <c r="A18" s="61"/>
      <c r="B18" s="65" t="s">
        <v>136</v>
      </c>
      <c r="C18" s="66">
        <v>635.0</v>
      </c>
      <c r="D18" s="61"/>
    </row>
    <row r="19">
      <c r="A19" s="61"/>
      <c r="B19" s="65" t="s">
        <v>137</v>
      </c>
      <c r="C19" s="66">
        <v>437.0</v>
      </c>
      <c r="D19" s="61"/>
    </row>
    <row r="20">
      <c r="A20" s="61"/>
      <c r="B20" s="65" t="s">
        <v>138</v>
      </c>
      <c r="C20" s="66">
        <v>416.0</v>
      </c>
      <c r="D20" s="61"/>
    </row>
    <row r="21">
      <c r="A21" s="61"/>
      <c r="B21" s="65" t="s">
        <v>139</v>
      </c>
      <c r="C21" s="66">
        <v>367.0</v>
      </c>
      <c r="D21" s="61"/>
    </row>
    <row r="22">
      <c r="A22" s="61"/>
      <c r="B22" s="65" t="s">
        <v>140</v>
      </c>
      <c r="C22" s="66">
        <v>350.0</v>
      </c>
      <c r="D22" s="61"/>
    </row>
    <row r="23">
      <c r="A23" s="61"/>
      <c r="B23" s="65" t="s">
        <v>141</v>
      </c>
      <c r="C23" s="66">
        <v>336.0</v>
      </c>
      <c r="D23" s="61"/>
    </row>
    <row r="24">
      <c r="A24" s="61"/>
      <c r="B24" s="65" t="s">
        <v>142</v>
      </c>
      <c r="C24" s="66">
        <v>287.0</v>
      </c>
      <c r="D24" s="61"/>
    </row>
    <row r="25">
      <c r="A25" s="61"/>
      <c r="B25" s="65" t="s">
        <v>143</v>
      </c>
      <c r="C25" s="66">
        <v>238.0</v>
      </c>
      <c r="D25" s="61"/>
    </row>
    <row r="26">
      <c r="A26" s="61"/>
      <c r="B26" s="65" t="s">
        <v>144</v>
      </c>
      <c r="C26" s="66">
        <v>219.0</v>
      </c>
      <c r="D26" s="61"/>
    </row>
    <row r="27">
      <c r="A27" s="61"/>
      <c r="B27" s="65" t="s">
        <v>145</v>
      </c>
      <c r="C27" s="66">
        <v>180.0</v>
      </c>
      <c r="D27" s="61"/>
    </row>
    <row r="28">
      <c r="A28" s="61"/>
      <c r="B28" s="65" t="s">
        <v>146</v>
      </c>
      <c r="C28" s="66">
        <v>166.0</v>
      </c>
      <c r="D28" s="61"/>
    </row>
    <row r="29">
      <c r="A29" s="61"/>
      <c r="B29" s="65" t="s">
        <v>147</v>
      </c>
      <c r="C29" s="66">
        <v>164.0</v>
      </c>
      <c r="D29" s="61"/>
    </row>
    <row r="30">
      <c r="A30" s="61"/>
      <c r="B30" s="65" t="s">
        <v>148</v>
      </c>
      <c r="C30" s="66">
        <v>154.0</v>
      </c>
      <c r="D30" s="61"/>
    </row>
    <row r="31">
      <c r="A31" s="61"/>
      <c r="B31" s="65" t="s">
        <v>149</v>
      </c>
      <c r="C31" s="66">
        <v>149.0</v>
      </c>
      <c r="D31" s="61"/>
    </row>
    <row r="32">
      <c r="A32" s="61"/>
      <c r="B32" s="65" t="s">
        <v>150</v>
      </c>
      <c r="C32" s="66">
        <v>144.0</v>
      </c>
      <c r="D32" s="61"/>
    </row>
    <row r="33">
      <c r="A33" s="61"/>
      <c r="B33" s="65" t="s">
        <v>151</v>
      </c>
      <c r="C33" s="66">
        <v>110.0</v>
      </c>
      <c r="D33" s="61"/>
    </row>
    <row r="34">
      <c r="A34" s="61"/>
      <c r="B34" s="65" t="s">
        <v>152</v>
      </c>
      <c r="C34" s="66">
        <v>100.0</v>
      </c>
      <c r="D34" s="61"/>
    </row>
    <row r="35">
      <c r="A35" s="61"/>
      <c r="B35" s="65" t="s">
        <v>153</v>
      </c>
      <c r="C35" s="66">
        <v>89.0</v>
      </c>
      <c r="D35" s="61"/>
    </row>
    <row r="36">
      <c r="A36" s="61"/>
      <c r="B36" s="65" t="s">
        <v>154</v>
      </c>
      <c r="C36" s="66">
        <v>79.0</v>
      </c>
      <c r="D36" s="61"/>
    </row>
    <row r="37">
      <c r="A37" s="61"/>
      <c r="B37" s="65" t="s">
        <v>155</v>
      </c>
      <c r="C37" s="66">
        <v>61.0</v>
      </c>
      <c r="D37" s="61"/>
    </row>
    <row r="38">
      <c r="A38" s="61"/>
      <c r="B38" s="65" t="s">
        <v>156</v>
      </c>
      <c r="C38" s="66">
        <v>43.0</v>
      </c>
      <c r="D38" s="61"/>
    </row>
    <row r="39">
      <c r="A39" s="61"/>
      <c r="B39" s="65" t="s">
        <v>157</v>
      </c>
      <c r="C39" s="66">
        <v>40.0</v>
      </c>
      <c r="D39" s="61"/>
    </row>
    <row r="40">
      <c r="A40" s="61"/>
      <c r="B40" s="65" t="s">
        <v>158</v>
      </c>
      <c r="C40" s="66">
        <v>33.0</v>
      </c>
      <c r="D40" s="61"/>
    </row>
    <row r="41">
      <c r="A41" s="61"/>
      <c r="B41" s="65" t="s">
        <v>159</v>
      </c>
      <c r="C41" s="66"/>
      <c r="D41" s="61"/>
    </row>
    <row r="42">
      <c r="A42" s="61"/>
      <c r="B42" s="65" t="s">
        <v>160</v>
      </c>
      <c r="C42" s="66"/>
      <c r="D42" s="61"/>
    </row>
    <row r="43">
      <c r="A43" s="61"/>
      <c r="B43" s="65"/>
      <c r="C43" s="66"/>
      <c r="D43" s="61"/>
    </row>
    <row r="44">
      <c r="A44" s="61"/>
      <c r="B44" s="65"/>
      <c r="C44" s="66"/>
      <c r="D44" s="61"/>
    </row>
    <row r="45">
      <c r="A45" s="61"/>
      <c r="B45" s="65"/>
      <c r="C45" s="66"/>
      <c r="D45" s="61"/>
    </row>
    <row r="46">
      <c r="A46" s="61"/>
      <c r="B46" s="65"/>
      <c r="C46" s="66"/>
      <c r="D46" s="61"/>
    </row>
    <row r="47">
      <c r="A47" s="61"/>
      <c r="B47" s="65"/>
      <c r="C47" s="66"/>
      <c r="D47" s="61"/>
    </row>
    <row r="48">
      <c r="A48" s="61"/>
      <c r="B48" s="65"/>
      <c r="C48" s="66"/>
      <c r="D48" s="61"/>
    </row>
    <row r="49">
      <c r="A49" s="61"/>
      <c r="B49" s="65"/>
      <c r="C49" s="66"/>
      <c r="D49" s="61"/>
    </row>
    <row r="50">
      <c r="A50" s="61"/>
      <c r="B50" s="65"/>
      <c r="C50" s="66"/>
      <c r="D50" s="61"/>
    </row>
    <row r="51">
      <c r="A51" s="61"/>
      <c r="B51" s="65"/>
      <c r="C51" s="66"/>
      <c r="D51" s="61"/>
    </row>
    <row r="52">
      <c r="A52" s="61"/>
      <c r="B52" s="65"/>
      <c r="C52" s="66"/>
      <c r="D52" s="61"/>
    </row>
    <row r="53">
      <c r="A53" s="61"/>
      <c r="B53" s="65"/>
      <c r="C53" s="66"/>
      <c r="D53" s="61"/>
    </row>
    <row r="54">
      <c r="A54" s="61"/>
      <c r="B54" s="65"/>
      <c r="C54" s="66"/>
      <c r="D54" s="61"/>
    </row>
    <row r="55">
      <c r="A55" s="61"/>
      <c r="B55" s="65"/>
      <c r="C55" s="66"/>
      <c r="D55" s="61"/>
    </row>
    <row r="56">
      <c r="A56" s="61"/>
      <c r="B56" s="65"/>
      <c r="C56" s="66"/>
      <c r="D56" s="61"/>
    </row>
    <row r="57">
      <c r="A57" s="61"/>
      <c r="B57" s="65"/>
      <c r="C57" s="66"/>
      <c r="D57" s="61"/>
    </row>
    <row r="58">
      <c r="A58" s="61"/>
      <c r="B58" s="65"/>
      <c r="C58" s="66"/>
      <c r="D58" s="61"/>
    </row>
    <row r="59">
      <c r="A59" s="61"/>
      <c r="B59" s="65"/>
      <c r="C59" s="66"/>
      <c r="D59" s="61"/>
    </row>
    <row r="60">
      <c r="A60" s="61"/>
      <c r="B60" s="65"/>
      <c r="C60" s="66"/>
      <c r="D60" s="61"/>
    </row>
    <row r="61">
      <c r="A61" s="61"/>
      <c r="B61" s="65"/>
      <c r="C61" s="66"/>
      <c r="D61" s="61"/>
    </row>
    <row r="62">
      <c r="A62" s="61"/>
      <c r="B62" s="65"/>
      <c r="C62" s="66"/>
      <c r="D62" s="61"/>
    </row>
    <row r="63">
      <c r="A63" s="61"/>
      <c r="B63" s="65"/>
      <c r="C63" s="66"/>
      <c r="D63" s="61"/>
    </row>
    <row r="64">
      <c r="A64" s="61"/>
      <c r="B64" s="65"/>
      <c r="C64" s="66"/>
      <c r="D64" s="61"/>
    </row>
    <row r="65">
      <c r="A65" s="61"/>
      <c r="B65" s="65"/>
      <c r="C65" s="66"/>
      <c r="D65" s="61"/>
    </row>
    <row r="66">
      <c r="A66" s="61"/>
      <c r="B66" s="65"/>
      <c r="C66" s="66"/>
      <c r="D66" s="61"/>
    </row>
    <row r="67">
      <c r="A67" s="61"/>
      <c r="B67" s="65"/>
      <c r="C67" s="66"/>
      <c r="D67" s="61"/>
    </row>
    <row r="68">
      <c r="A68" s="61"/>
      <c r="B68" s="65"/>
      <c r="C68" s="66"/>
      <c r="D68" s="61"/>
    </row>
    <row r="69">
      <c r="A69" s="61"/>
      <c r="B69" s="65"/>
      <c r="C69" s="66"/>
      <c r="D69" s="61"/>
    </row>
    <row r="70">
      <c r="A70" s="61"/>
      <c r="B70" s="65"/>
      <c r="C70" s="66"/>
      <c r="D70" s="61"/>
    </row>
    <row r="71">
      <c r="A71" s="61"/>
      <c r="B71" s="65"/>
      <c r="C71" s="66"/>
      <c r="D71" s="61"/>
    </row>
    <row r="72">
      <c r="A72" s="61"/>
      <c r="B72" s="65"/>
      <c r="C72" s="66"/>
      <c r="D72" s="61"/>
    </row>
    <row r="73">
      <c r="A73" s="61"/>
      <c r="B73" s="65"/>
      <c r="C73" s="66"/>
      <c r="D73" s="61"/>
    </row>
    <row r="74">
      <c r="A74" s="61"/>
      <c r="B74" s="65"/>
      <c r="C74" s="66"/>
      <c r="D74" s="61"/>
    </row>
    <row r="75">
      <c r="A75" s="61"/>
      <c r="B75" s="65"/>
      <c r="C75" s="66"/>
      <c r="D75" s="61"/>
    </row>
    <row r="76">
      <c r="A76" s="61"/>
      <c r="B76" s="65"/>
      <c r="C76" s="66"/>
      <c r="D76" s="61"/>
    </row>
    <row r="77">
      <c r="A77" s="61"/>
      <c r="B77" s="65"/>
      <c r="C77" s="66"/>
      <c r="D77" s="61"/>
    </row>
    <row r="78">
      <c r="A78" s="61"/>
      <c r="B78" s="65"/>
      <c r="C78" s="66"/>
      <c r="D78" s="61"/>
    </row>
    <row r="79">
      <c r="A79" s="61"/>
      <c r="B79" s="65"/>
      <c r="C79" s="66"/>
      <c r="D79" s="61"/>
    </row>
    <row r="80">
      <c r="A80" s="61"/>
      <c r="B80" s="65"/>
      <c r="C80" s="66"/>
      <c r="D80" s="61"/>
    </row>
    <row r="81">
      <c r="A81" s="61"/>
      <c r="B81" s="65"/>
      <c r="C81" s="66"/>
      <c r="D81" s="61"/>
    </row>
    <row r="82">
      <c r="A82" s="61"/>
      <c r="B82" s="65"/>
      <c r="C82" s="66"/>
      <c r="D82" s="61"/>
    </row>
    <row r="83">
      <c r="A83" s="61"/>
      <c r="B83" s="65"/>
      <c r="C83" s="66"/>
      <c r="D83" s="61"/>
    </row>
    <row r="84">
      <c r="A84" s="61"/>
      <c r="B84" s="65"/>
      <c r="C84" s="66"/>
      <c r="D84" s="61"/>
    </row>
    <row r="85">
      <c r="A85" s="61"/>
      <c r="B85" s="65"/>
      <c r="C85" s="66"/>
      <c r="D85" s="61"/>
    </row>
    <row r="86">
      <c r="A86" s="61"/>
      <c r="B86" s="65"/>
      <c r="C86" s="66"/>
      <c r="D86" s="61"/>
    </row>
    <row r="87">
      <c r="A87" s="61"/>
      <c r="B87" s="65"/>
      <c r="C87" s="66"/>
      <c r="D87" s="61"/>
    </row>
    <row r="88">
      <c r="A88" s="61"/>
      <c r="B88" s="65"/>
      <c r="C88" s="66"/>
      <c r="D88" s="61"/>
    </row>
    <row r="89">
      <c r="A89" s="61"/>
      <c r="B89" s="65"/>
      <c r="C89" s="66"/>
      <c r="D89" s="61"/>
    </row>
    <row r="90">
      <c r="A90" s="61"/>
      <c r="B90" s="65"/>
      <c r="C90" s="66"/>
      <c r="D90" s="61"/>
    </row>
    <row r="91">
      <c r="A91" s="61"/>
      <c r="B91" s="65"/>
      <c r="C91" s="66"/>
      <c r="D91" s="61"/>
    </row>
    <row r="92">
      <c r="A92" s="61"/>
      <c r="B92" s="65"/>
      <c r="C92" s="66"/>
      <c r="D92" s="61"/>
    </row>
    <row r="93">
      <c r="A93" s="61"/>
      <c r="B93" s="65"/>
      <c r="C93" s="66"/>
      <c r="D93" s="61"/>
    </row>
    <row r="94">
      <c r="A94" s="61"/>
      <c r="B94" s="65"/>
      <c r="C94" s="66"/>
      <c r="D94" s="61"/>
    </row>
    <row r="95">
      <c r="A95" s="61"/>
      <c r="B95" s="65"/>
      <c r="C95" s="66"/>
      <c r="D95" s="61"/>
    </row>
    <row r="96">
      <c r="A96" s="61"/>
      <c r="B96" s="65"/>
      <c r="C96" s="66"/>
      <c r="D96" s="61"/>
    </row>
    <row r="97">
      <c r="A97" s="61"/>
      <c r="B97" s="65"/>
      <c r="C97" s="66"/>
      <c r="D97" s="61"/>
    </row>
    <row r="98">
      <c r="A98" s="61"/>
      <c r="B98" s="65"/>
      <c r="C98" s="66"/>
      <c r="D98" s="61"/>
    </row>
    <row r="99">
      <c r="A99" s="61"/>
      <c r="B99" s="61"/>
      <c r="C99" s="120"/>
      <c r="D99" s="6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